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0"/>
  </bookViews>
  <sheets>
    <sheet name="Line Regulation" sheetId="1" r:id="rId1"/>
  </sheets>
  <externalReferences>
    <externalReference r:id="rId2"/>
    <externalReference r:id="rId3"/>
  </externalReferences>
  <definedNames>
    <definedName name="Vo" localSheetId="0">'Line Regulation'!$B$27</definedName>
  </definedNames>
  <calcPr calcId="162913"/>
</workbook>
</file>

<file path=xl/calcChain.xml><?xml version="1.0" encoding="utf-8"?>
<calcChain xmlns="http://schemas.openxmlformats.org/spreadsheetml/2006/main">
  <c r="R69" i="1" l="1"/>
  <c r="R68" i="1"/>
  <c r="Q68" i="1"/>
  <c r="Q69" i="1"/>
  <c r="T68" i="1"/>
</calcChain>
</file>

<file path=xl/sharedStrings.xml><?xml version="1.0" encoding="utf-8"?>
<sst xmlns="http://schemas.openxmlformats.org/spreadsheetml/2006/main" count="19" uniqueCount="19">
  <si>
    <t>iout</t>
  </si>
  <si>
    <t>Vin</t>
  </si>
  <si>
    <t>Vac</t>
  </si>
  <si>
    <t>PF</t>
  </si>
  <si>
    <t>5% Limit</t>
  </si>
  <si>
    <t>-5% Limit</t>
  </si>
  <si>
    <t xml:space="preserve"> + 7%</t>
  </si>
  <si>
    <t>-7%</t>
  </si>
  <si>
    <t>Iout</t>
  </si>
  <si>
    <t>Freq (Hz)</t>
  </si>
  <si>
    <t>Iin (mA)</t>
  </si>
  <si>
    <t>Pin (W)</t>
  </si>
  <si>
    <t>THD (%)</t>
  </si>
  <si>
    <t>Vo1 (V)</t>
  </si>
  <si>
    <t>Io1 (mA)</t>
  </si>
  <si>
    <t>Po1 (W)</t>
  </si>
  <si>
    <t>Vreg1 (%)</t>
  </si>
  <si>
    <t>Ireg1 (%)</t>
  </si>
  <si>
    <t>Eff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</si>
</sst>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0" xfId="0" applyFill="1"/>
    <xf numFmtId="9" fontId="0" fillId="2" borderId="0" xfId="0" applyNumberFormat="1" applyFill="1"/>
    <xf numFmtId="49" fontId="0" fillId="2" borderId="0" xfId="0" applyNumberFormat="1" applyFill="1"/>
    <xf numFmtId="0" fontId="0" fillId="2" borderId="0" xfId="0" quotePrefix="1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493335905865765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Line Regulation (CR mode)</c:v>
          </c:tx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Regulation'!$N$2:$N$12</c:f>
              <c:numCache>
                <c:formatCode>General</c:formatCode>
                <c:ptCount val="11"/>
                <c:pt idx="0">
                  <c:v>89.681399999999996</c:v>
                </c:pt>
                <c:pt idx="1">
                  <c:v>90.357500000000002</c:v>
                </c:pt>
                <c:pt idx="2">
                  <c:v>90.781300000000002</c:v>
                </c:pt>
                <c:pt idx="3">
                  <c:v>90.984800000000007</c:v>
                </c:pt>
                <c:pt idx="4">
                  <c:v>91.134600000000006</c:v>
                </c:pt>
                <c:pt idx="5">
                  <c:v>91.476799999999997</c:v>
                </c:pt>
                <c:pt idx="6">
                  <c:v>92.266599999999997</c:v>
                </c:pt>
                <c:pt idx="7">
                  <c:v>92.5274</c:v>
                </c:pt>
                <c:pt idx="8">
                  <c:v>92.741799999999998</c:v>
                </c:pt>
                <c:pt idx="9">
                  <c:v>92.982699999999994</c:v>
                </c:pt>
                <c:pt idx="10">
                  <c:v>93.045400000000001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FD-4056-9435-1CC891857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0416"/>
        <c:axId val="99982720"/>
      </c:scatterChart>
      <c:valAx>
        <c:axId val="99980416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</a:t>
                </a:r>
                <a:r>
                  <a:rPr lang="en-US" sz="1200" baseline="0"/>
                  <a:t> Voltage (VAC)</a:t>
                </a:r>
                <a:endParaRPr lang="en-US" sz="1200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99982720"/>
        <c:crosses val="autoZero"/>
        <c:crossBetween val="midCat"/>
        <c:majorUnit val="20"/>
        <c:minorUnit val="1"/>
      </c:valAx>
      <c:valAx>
        <c:axId val="99982720"/>
        <c:scaling>
          <c:orientation val="minMax"/>
          <c:max val="96"/>
          <c:min val="85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Efficiency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</c:spPr>
        <c:crossAx val="99980416"/>
        <c:crosses val="autoZero"/>
        <c:crossBetween val="midCat"/>
        <c:majorUnit val="1"/>
        <c:minorUnit val="1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493335905865765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Line Regulation (CR mode)</c:v>
          </c:tx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Regulation'!$H$2:$H$12</c:f>
              <c:numCache>
                <c:formatCode>General</c:formatCode>
                <c:ptCount val="11"/>
                <c:pt idx="0">
                  <c:v>10.61</c:v>
                </c:pt>
                <c:pt idx="1">
                  <c:v>10.09</c:v>
                </c:pt>
                <c:pt idx="2">
                  <c:v>10.71</c:v>
                </c:pt>
                <c:pt idx="3">
                  <c:v>11.24</c:v>
                </c:pt>
                <c:pt idx="4">
                  <c:v>11.4</c:v>
                </c:pt>
                <c:pt idx="5">
                  <c:v>11.63</c:v>
                </c:pt>
                <c:pt idx="6">
                  <c:v>11.52</c:v>
                </c:pt>
                <c:pt idx="7">
                  <c:v>10.44</c:v>
                </c:pt>
                <c:pt idx="8">
                  <c:v>8.59</c:v>
                </c:pt>
                <c:pt idx="9">
                  <c:v>8.18</c:v>
                </c:pt>
                <c:pt idx="10">
                  <c:v>13.47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6-45CB-823B-079E9CD2F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0416"/>
        <c:axId val="99982720"/>
      </c:scatterChart>
      <c:valAx>
        <c:axId val="99980416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</a:t>
                </a:r>
                <a:r>
                  <a:rPr lang="en-US" sz="1200" baseline="0"/>
                  <a:t> Voltage (VAC)</a:t>
                </a:r>
                <a:endParaRPr lang="en-US" sz="1200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99982720"/>
        <c:crosses val="autoZero"/>
        <c:crossBetween val="midCat"/>
        <c:majorUnit val="20"/>
        <c:minorUnit val="1"/>
      </c:valAx>
      <c:valAx>
        <c:axId val="99982720"/>
        <c:scaling>
          <c:orientation val="minMax"/>
          <c:max val="1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THD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</c:spPr>
        <c:crossAx val="99980416"/>
        <c:crosses val="autoZero"/>
        <c:crossBetween val="midCat"/>
        <c:majorUnit val="1"/>
        <c:minorUnit val="1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493335905865765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Line Regulation (CR mode)</c:v>
          </c:tx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Regulation'!$G$2:$G$12</c:f>
              <c:numCache>
                <c:formatCode>General</c:formatCode>
                <c:ptCount val="11"/>
                <c:pt idx="0">
                  <c:v>0.99129999999999996</c:v>
                </c:pt>
                <c:pt idx="1">
                  <c:v>0.99139999999999995</c:v>
                </c:pt>
                <c:pt idx="2">
                  <c:v>0.99019999999999997</c:v>
                </c:pt>
                <c:pt idx="3">
                  <c:v>0.98929999999999996</c:v>
                </c:pt>
                <c:pt idx="4">
                  <c:v>0.98880000000000001</c:v>
                </c:pt>
                <c:pt idx="5">
                  <c:v>0.98670000000000002</c:v>
                </c:pt>
                <c:pt idx="6">
                  <c:v>0.97970000000000002</c:v>
                </c:pt>
                <c:pt idx="7">
                  <c:v>0.9909</c:v>
                </c:pt>
                <c:pt idx="8">
                  <c:v>0.99129999999999996</c:v>
                </c:pt>
                <c:pt idx="9">
                  <c:v>0.97629999999999995</c:v>
                </c:pt>
                <c:pt idx="10">
                  <c:v>0.85070000000000001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A-4F6B-A17D-D42B7E5C1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0416"/>
        <c:axId val="99982720"/>
      </c:scatterChart>
      <c:valAx>
        <c:axId val="99980416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</a:t>
                </a:r>
                <a:r>
                  <a:rPr lang="en-US" sz="1200" baseline="0"/>
                  <a:t> Voltage (VAC)</a:t>
                </a:r>
                <a:endParaRPr lang="en-US" sz="1200"/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99982720"/>
        <c:crosses val="autoZero"/>
        <c:crossBetween val="midCat"/>
        <c:majorUnit val="20"/>
        <c:minorUnit val="1"/>
      </c:valAx>
      <c:valAx>
        <c:axId val="99982720"/>
        <c:scaling>
          <c:orientation val="minMax"/>
          <c:max val="1"/>
          <c:min val="0.84000000000000008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Power</a:t>
                </a:r>
                <a:r>
                  <a:rPr lang="en-US" sz="1200" baseline="0"/>
                  <a:t> Factor</a:t>
                </a:r>
                <a:endParaRPr lang="en-US" sz="1200"/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</c:spPr>
        <c:crossAx val="99980416"/>
        <c:crosses val="autoZero"/>
        <c:crossBetween val="midCat"/>
        <c:majorUnit val="1.0000000000000002E-2"/>
        <c:minorUnit val="1.0000000000000002E-2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16786327884871E-2"/>
          <c:y val="2.651904461099824E-2"/>
          <c:w val="0.86980157852974671"/>
          <c:h val="0.86592413558320858"/>
        </c:manualLayout>
      </c:layout>
      <c:scatterChart>
        <c:scatterStyle val="lineMarker"/>
        <c:varyColors val="0"/>
        <c:ser>
          <c:idx val="0"/>
          <c:order val="0"/>
          <c:tx>
            <c:v>Output Current Regulation</c:v>
          </c:tx>
          <c:spPr>
            <a:ln w="28575"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'Line Regulation'!$B$2:$B$12</c:f>
              <c:numCache>
                <c:formatCode>General</c:formatCode>
                <c:ptCount val="11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'Line Regulation'!$J$2:$J$12</c:f>
              <c:numCache>
                <c:formatCode>General</c:formatCode>
                <c:ptCount val="11"/>
                <c:pt idx="0">
                  <c:v>1549.3</c:v>
                </c:pt>
                <c:pt idx="1">
                  <c:v>1549.4</c:v>
                </c:pt>
                <c:pt idx="2">
                  <c:v>1548.8</c:v>
                </c:pt>
                <c:pt idx="3">
                  <c:v>1549</c:v>
                </c:pt>
                <c:pt idx="4">
                  <c:v>1548.4</c:v>
                </c:pt>
                <c:pt idx="5">
                  <c:v>1549</c:v>
                </c:pt>
                <c:pt idx="6">
                  <c:v>1548.3</c:v>
                </c:pt>
                <c:pt idx="7">
                  <c:v>1547.8</c:v>
                </c:pt>
                <c:pt idx="8">
                  <c:v>1547.2</c:v>
                </c:pt>
                <c:pt idx="9">
                  <c:v>1546.8</c:v>
                </c:pt>
                <c:pt idx="10">
                  <c:v>1547.3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B-409A-A180-64D70F63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81504"/>
        <c:axId val="100183424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2"/>
                <c:tx>
                  <c:v>+5% Limit</c:v>
                </c:tx>
                <c:spPr>
                  <a:ln w="28575">
                    <a:solidFill>
                      <a:srgbClr val="FF3399"/>
                    </a:solidFill>
                    <a:prstDash val="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'Line Regulation'!$P$68:$P$69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100</c:v>
                      </c:pt>
                      <c:pt idx="1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'Line Regulation'!$Q$68:$Q$69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1.6275000000000002</c:v>
                      </c:pt>
                      <c:pt idx="1">
                        <c:v>1.6275000000000002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22B-409A-A180-64D70F63A9B3}"/>
                  </c:ext>
                </c:extLst>
              </c15:ser>
            </c15:filteredScatterSeries>
            <c15:filteredScatterSeries>
              <c15:ser>
                <c:idx val="5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'[2]Load Reg, Eff-15V'!$C$27</c15:sqref>
                        </c15:formulaRef>
                      </c:ext>
                    </c:extLst>
                    <c:strCache>
                      <c:ptCount val="1"/>
                      <c:pt idx="0">
                        <c:v>5% Limit</c:v>
                      </c:pt>
                    </c:strCache>
                  </c:strRef>
                </c:tx>
                <c:spPr>
                  <a:ln w="28575">
                    <a:solidFill>
                      <a:srgbClr val="159B25"/>
                    </a:solidFill>
                    <a:prstDash val="dash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'[2]Load Reg, Eff-15V'!$B$28:$B$29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100</c:v>
                      </c:pt>
                      <c:pt idx="1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'[2]Load Reg, Eff-15V'!$C$28:$C$29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15.75</c:v>
                      </c:pt>
                      <c:pt idx="1">
                        <c:v>15.75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2B-409A-A180-64D70F63A9B3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0191232"/>
        <c:axId val="10018969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spPr>
                  <a:ln>
                    <a:noFill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'[1]Energy Efficiency'!$N$32:$N$33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'[1]Energy Efficiency'!$O$32:$O$33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322B-409A-A180-64D70F63A9B3}"/>
                  </c:ext>
                </c:extLst>
              </c15:ser>
            </c15:filteredScatterSeries>
          </c:ext>
        </c:extLst>
      </c:scatterChart>
      <c:valAx>
        <c:axId val="100181504"/>
        <c:scaling>
          <c:orientation val="minMax"/>
          <c:max val="28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Input Voltage (VAC)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100183424"/>
        <c:crossesAt val="13.950000000000001"/>
        <c:crossBetween val="midCat"/>
        <c:majorUnit val="20"/>
        <c:minorUnit val="1"/>
      </c:valAx>
      <c:valAx>
        <c:axId val="100183424"/>
        <c:scaling>
          <c:orientation val="minMax"/>
          <c:max val="1627.5"/>
          <c:min val="1472.5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Output Current (mA)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</c:spPr>
        <c:crossAx val="100181504"/>
        <c:crosses val="autoZero"/>
        <c:crossBetween val="midCat"/>
        <c:majorUnit val="15.5"/>
        <c:minorUnit val="15.5"/>
      </c:valAx>
      <c:valAx>
        <c:axId val="100189696"/>
        <c:scaling>
          <c:orientation val="minMax"/>
          <c:max val="5"/>
          <c:min val="-5"/>
        </c:scaling>
        <c:delete val="0"/>
        <c:axPos val="r"/>
        <c:numFmt formatCode="0&quot;%&quot;" sourceLinked="0"/>
        <c:majorTickMark val="out"/>
        <c:minorTickMark val="none"/>
        <c:tickLblPos val="nextTo"/>
        <c:crossAx val="100191232"/>
        <c:crosses val="max"/>
        <c:crossBetween val="midCat"/>
        <c:majorUnit val="1"/>
      </c:valAx>
      <c:valAx>
        <c:axId val="100191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89696"/>
        <c:crossesAt val="0"/>
        <c:crossBetween val="midCat"/>
      </c:valAx>
      <c:spPr>
        <a:noFill/>
        <a:ln w="25400" cmpd="sng">
          <a:solidFill>
            <a:schemeClr val="tx1"/>
          </a:solidFill>
        </a:ln>
      </c:spPr>
    </c:plotArea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13</xdr:row>
      <xdr:rowOff>47625</xdr:rowOff>
    </xdr:from>
    <xdr:to>
      <xdr:col>13</xdr:col>
      <xdr:colOff>479961</xdr:colOff>
      <xdr:row>36</xdr:row>
      <xdr:rowOff>63705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27</xdr:col>
      <xdr:colOff>137061</xdr:colOff>
      <xdr:row>36</xdr:row>
      <xdr:rowOff>16080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37</xdr:row>
      <xdr:rowOff>66675</xdr:rowOff>
    </xdr:from>
    <xdr:to>
      <xdr:col>13</xdr:col>
      <xdr:colOff>451386</xdr:colOff>
      <xdr:row>60</xdr:row>
      <xdr:rowOff>82755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142875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s_Files\Public\Design%20Example%20Reports\DER-917%20Inno3270C%2060W\Working%20Files\Data\May%2030%202020\Electrical%20Test%20Data-May%203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cayno/Downloads/DER-958%20DER%20Electrical%20Tes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-CC-CP Curve"/>
      <sheetName val="Full Load, Line Reg, Eff"/>
      <sheetName val="Energy Efficiency"/>
      <sheetName val="Load Reg-20V"/>
      <sheetName val="No Load  Input Power"/>
      <sheetName val="15V 3A Electrical"/>
      <sheetName val="10V 3A Electrical"/>
      <sheetName val="INput Power During Short Circui"/>
      <sheetName val="ESD"/>
      <sheetName val="Surge Test"/>
    </sheetNames>
    <sheetDataSet>
      <sheetData sheetId="0" refreshError="1"/>
      <sheetData sheetId="1" refreshError="1"/>
      <sheetData sheetId="2">
        <row r="12">
          <cell r="K12">
            <v>90</v>
          </cell>
        </row>
        <row r="32">
          <cell r="N32">
            <v>0</v>
          </cell>
          <cell r="O32">
            <v>0</v>
          </cell>
        </row>
        <row r="33">
          <cell r="N33">
            <v>100</v>
          </cell>
          <cell r="O33">
            <v>0</v>
          </cell>
        </row>
      </sheetData>
      <sheetData sheetId="3" refreshError="1"/>
      <sheetData sheetId="4">
        <row r="11">
          <cell r="AD11">
            <v>24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Load Efficiency"/>
      <sheetName val="No Load Power"/>
      <sheetName val="Energy Efficiency at 230VAC"/>
      <sheetName val="Load Reg, Eff-20V"/>
      <sheetName val="Load Reg, Eff-15V"/>
      <sheetName val="Load Reg, Eff-9V"/>
      <sheetName val="Load Reg, Eff-5V"/>
      <sheetName val="Thermal Data (Room Temp)"/>
      <sheetName val="Thermal Data (50deg Ambient)"/>
      <sheetName val="Ripple Voltage"/>
      <sheetName val="Load Transient Data"/>
      <sheetName val="ESD"/>
      <sheetName val="Surge"/>
      <sheetName val="Sheet1"/>
    </sheetNames>
    <sheetDataSet>
      <sheetData sheetId="0"/>
      <sheetData sheetId="1"/>
      <sheetData sheetId="2"/>
      <sheetData sheetId="3"/>
      <sheetData sheetId="4">
        <row r="27">
          <cell r="C27" t="str">
            <v>5% Limit</v>
          </cell>
        </row>
        <row r="28">
          <cell r="B28">
            <v>100</v>
          </cell>
          <cell r="C28">
            <v>15.75</v>
          </cell>
        </row>
        <row r="29">
          <cell r="B29">
            <v>0</v>
          </cell>
          <cell r="C29">
            <v>15.75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abSelected="1" zoomScale="55" zoomScaleNormal="55" workbookViewId="0">
      <selection activeCell="T6" sqref="T6"/>
    </sheetView>
  </sheetViews>
  <sheetFormatPr defaultRowHeight="15" x14ac:dyDescent="0.25"/>
  <sheetData>
    <row r="1" spans="1:15" x14ac:dyDescent="0.25">
      <c r="A1" s="8" t="s">
        <v>0</v>
      </c>
      <c r="B1" s="8" t="s">
        <v>1</v>
      </c>
      <c r="C1" s="8" t="s">
        <v>9</v>
      </c>
      <c r="D1" s="8" t="s">
        <v>2</v>
      </c>
      <c r="E1" s="8" t="s">
        <v>10</v>
      </c>
      <c r="F1" s="8" t="s">
        <v>11</v>
      </c>
      <c r="G1" s="8" t="s">
        <v>3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  <c r="N1" s="8" t="s">
        <v>18</v>
      </c>
    </row>
    <row r="2" spans="1:15" x14ac:dyDescent="0.25">
      <c r="A2" s="1">
        <v>1.55</v>
      </c>
      <c r="B2" s="1">
        <v>90</v>
      </c>
      <c r="C2" s="1">
        <v>60</v>
      </c>
      <c r="D2" s="1">
        <v>89.74</v>
      </c>
      <c r="E2" s="1">
        <v>931.4</v>
      </c>
      <c r="F2" s="1">
        <v>82.86</v>
      </c>
      <c r="G2" s="1">
        <v>0.99129999999999996</v>
      </c>
      <c r="H2" s="1">
        <v>10.61</v>
      </c>
      <c r="I2" s="1">
        <v>47.96</v>
      </c>
      <c r="J2" s="1">
        <v>1549.3</v>
      </c>
      <c r="K2" s="1">
        <v>74.31</v>
      </c>
      <c r="L2" s="1">
        <v>-8.3400000000000002E-2</v>
      </c>
      <c r="M2" s="1">
        <v>-4.5199999999999997E-2</v>
      </c>
      <c r="N2" s="1">
        <v>89.681399999999996</v>
      </c>
    </row>
    <row r="3" spans="1:15" x14ac:dyDescent="0.25">
      <c r="A3" s="1">
        <v>1.55</v>
      </c>
      <c r="B3" s="1">
        <v>100</v>
      </c>
      <c r="C3" s="1">
        <v>60</v>
      </c>
      <c r="D3" s="1">
        <v>99.8</v>
      </c>
      <c r="E3" s="1">
        <v>831.2</v>
      </c>
      <c r="F3" s="1">
        <v>82.24</v>
      </c>
      <c r="G3" s="1">
        <v>0.99139999999999995</v>
      </c>
      <c r="H3" s="1">
        <v>10.09</v>
      </c>
      <c r="I3" s="1">
        <v>47.960999999999999</v>
      </c>
      <c r="J3" s="1">
        <v>1549.4</v>
      </c>
      <c r="K3" s="1">
        <v>74.31</v>
      </c>
      <c r="L3" s="1">
        <v>-8.1299999999999997E-2</v>
      </c>
      <c r="M3" s="1">
        <v>-3.8699999999999998E-2</v>
      </c>
      <c r="N3" s="1">
        <v>90.357500000000002</v>
      </c>
    </row>
    <row r="4" spans="1:15" x14ac:dyDescent="0.25">
      <c r="A4" s="1">
        <v>1.55</v>
      </c>
      <c r="B4" s="1">
        <v>110</v>
      </c>
      <c r="C4" s="1">
        <v>60</v>
      </c>
      <c r="D4" s="1">
        <v>109.76</v>
      </c>
      <c r="E4" s="1">
        <v>752.5</v>
      </c>
      <c r="F4" s="1">
        <v>81.790000000000006</v>
      </c>
      <c r="G4" s="1">
        <v>0.99019999999999997</v>
      </c>
      <c r="H4" s="1">
        <v>10.71</v>
      </c>
      <c r="I4" s="1">
        <v>47.942</v>
      </c>
      <c r="J4" s="1">
        <v>1548.8</v>
      </c>
      <c r="K4" s="1">
        <v>74.25</v>
      </c>
      <c r="L4" s="1">
        <v>-0.121</v>
      </c>
      <c r="M4" s="1">
        <v>-7.7499999999999999E-2</v>
      </c>
      <c r="N4" s="1">
        <v>90.781300000000002</v>
      </c>
    </row>
    <row r="5" spans="1:15" x14ac:dyDescent="0.25">
      <c r="A5" s="1">
        <v>1.55</v>
      </c>
      <c r="B5" s="1">
        <v>115</v>
      </c>
      <c r="C5" s="1">
        <v>60</v>
      </c>
      <c r="D5" s="1">
        <v>114.82</v>
      </c>
      <c r="E5" s="1">
        <v>718.7</v>
      </c>
      <c r="F5" s="1">
        <v>81.64</v>
      </c>
      <c r="G5" s="1">
        <v>0.98929999999999996</v>
      </c>
      <c r="H5" s="1">
        <v>11.24</v>
      </c>
      <c r="I5" s="1">
        <v>47.948999999999998</v>
      </c>
      <c r="J5" s="1">
        <v>1549</v>
      </c>
      <c r="K5" s="1">
        <v>74.28</v>
      </c>
      <c r="L5" s="1">
        <v>-0.10639999999999999</v>
      </c>
      <c r="M5" s="1">
        <v>-6.4600000000000005E-2</v>
      </c>
      <c r="N5" s="1">
        <v>90.984800000000007</v>
      </c>
    </row>
    <row r="6" spans="1:15" x14ac:dyDescent="0.25">
      <c r="A6" s="1">
        <v>1.55</v>
      </c>
      <c r="B6" s="1">
        <v>120</v>
      </c>
      <c r="C6" s="1">
        <v>60</v>
      </c>
      <c r="D6" s="1">
        <v>119.8</v>
      </c>
      <c r="E6" s="1">
        <v>687.5</v>
      </c>
      <c r="F6" s="1">
        <v>81.44</v>
      </c>
      <c r="G6" s="1">
        <v>0.98880000000000001</v>
      </c>
      <c r="H6" s="1">
        <v>11.4</v>
      </c>
      <c r="I6" s="1">
        <v>47.932000000000002</v>
      </c>
      <c r="J6" s="1">
        <v>1548.4</v>
      </c>
      <c r="K6" s="1">
        <v>74.22</v>
      </c>
      <c r="L6" s="1">
        <v>-0.1419</v>
      </c>
      <c r="M6" s="1">
        <v>-0.1033</v>
      </c>
      <c r="N6" s="1">
        <v>91.134600000000006</v>
      </c>
    </row>
    <row r="7" spans="1:15" x14ac:dyDescent="0.25">
      <c r="A7" s="1">
        <v>1.55</v>
      </c>
      <c r="B7" s="1">
        <v>132</v>
      </c>
      <c r="C7" s="1">
        <v>60</v>
      </c>
      <c r="D7" s="1">
        <v>131.81</v>
      </c>
      <c r="E7" s="1">
        <v>624.29999999999995</v>
      </c>
      <c r="F7" s="1">
        <v>81.19</v>
      </c>
      <c r="G7" s="1">
        <v>0.98670000000000002</v>
      </c>
      <c r="H7" s="1">
        <v>11.63</v>
      </c>
      <c r="I7" s="1">
        <v>47.948</v>
      </c>
      <c r="J7" s="1">
        <v>1549</v>
      </c>
      <c r="K7" s="1">
        <v>74.27</v>
      </c>
      <c r="L7" s="1">
        <v>-0.1085</v>
      </c>
      <c r="M7" s="1">
        <v>-6.4600000000000005E-2</v>
      </c>
      <c r="N7" s="1">
        <v>91.476799999999997</v>
      </c>
    </row>
    <row r="8" spans="1:15" x14ac:dyDescent="0.25">
      <c r="A8" s="1">
        <v>1.55</v>
      </c>
      <c r="B8" s="1">
        <v>180</v>
      </c>
      <c r="C8" s="1">
        <v>50</v>
      </c>
      <c r="D8" s="1">
        <v>179.83</v>
      </c>
      <c r="E8" s="1">
        <v>456.6</v>
      </c>
      <c r="F8" s="1">
        <v>80.430000000000007</v>
      </c>
      <c r="G8" s="1">
        <v>0.97970000000000002</v>
      </c>
      <c r="H8" s="1">
        <v>11.52</v>
      </c>
      <c r="I8" s="1">
        <v>47.927999999999997</v>
      </c>
      <c r="J8" s="1">
        <v>1548.3</v>
      </c>
      <c r="K8" s="1">
        <v>74.209999999999994</v>
      </c>
      <c r="L8" s="1">
        <v>-0.1502</v>
      </c>
      <c r="M8" s="1">
        <v>-0.10979999999999999</v>
      </c>
      <c r="N8" s="1">
        <v>92.266599999999997</v>
      </c>
    </row>
    <row r="9" spans="1:15" x14ac:dyDescent="0.25">
      <c r="A9" s="1">
        <v>1.55</v>
      </c>
      <c r="B9" s="1">
        <v>200</v>
      </c>
      <c r="C9" s="1">
        <v>50</v>
      </c>
      <c r="D9" s="1">
        <v>199.89</v>
      </c>
      <c r="E9" s="1">
        <v>404.7</v>
      </c>
      <c r="F9" s="1">
        <v>80.16</v>
      </c>
      <c r="G9" s="1">
        <v>0.9909</v>
      </c>
      <c r="H9" s="1">
        <v>10.44</v>
      </c>
      <c r="I9" s="1">
        <v>47.914000000000001</v>
      </c>
      <c r="J9" s="1">
        <v>1547.8</v>
      </c>
      <c r="K9" s="1">
        <v>74.17</v>
      </c>
      <c r="L9" s="1">
        <v>-0.17949999999999999</v>
      </c>
      <c r="M9" s="1">
        <v>-0.1421</v>
      </c>
      <c r="N9" s="1">
        <v>92.5274</v>
      </c>
    </row>
    <row r="10" spans="1:15" x14ac:dyDescent="0.25">
      <c r="A10" s="1">
        <v>1.55</v>
      </c>
      <c r="B10" s="1">
        <v>230</v>
      </c>
      <c r="C10" s="1">
        <v>50</v>
      </c>
      <c r="D10" s="1">
        <v>229.9</v>
      </c>
      <c r="E10" s="1">
        <v>350.7</v>
      </c>
      <c r="F10" s="1">
        <v>79.91</v>
      </c>
      <c r="G10" s="1">
        <v>0.99129999999999996</v>
      </c>
      <c r="H10" s="1">
        <v>8.59</v>
      </c>
      <c r="I10" s="1">
        <v>47.895000000000003</v>
      </c>
      <c r="J10" s="1">
        <v>1547.2</v>
      </c>
      <c r="K10" s="1">
        <v>74.11</v>
      </c>
      <c r="L10" s="1">
        <v>-0.21920000000000001</v>
      </c>
      <c r="M10" s="1">
        <v>-0.18099999999999999</v>
      </c>
      <c r="N10" s="1">
        <v>92.741799999999998</v>
      </c>
    </row>
    <row r="11" spans="1:15" x14ac:dyDescent="0.25">
      <c r="A11" s="1">
        <v>1.55</v>
      </c>
      <c r="B11" s="1">
        <v>265</v>
      </c>
      <c r="C11" s="1">
        <v>50</v>
      </c>
      <c r="D11" s="1">
        <v>264.89999999999998</v>
      </c>
      <c r="E11" s="1">
        <v>308</v>
      </c>
      <c r="F11" s="1">
        <v>79.66</v>
      </c>
      <c r="G11" s="1">
        <v>0.97629999999999995</v>
      </c>
      <c r="H11" s="1">
        <v>8.18</v>
      </c>
      <c r="I11" s="1">
        <v>47.884999999999998</v>
      </c>
      <c r="J11" s="1">
        <v>1546.8</v>
      </c>
      <c r="K11" s="1">
        <v>74.069999999999993</v>
      </c>
      <c r="L11" s="1">
        <v>-0.2402</v>
      </c>
      <c r="M11" s="1">
        <v>-0.2069</v>
      </c>
      <c r="N11" s="1">
        <v>92.982699999999994</v>
      </c>
    </row>
    <row r="12" spans="1:15" x14ac:dyDescent="0.25">
      <c r="A12" s="1">
        <v>1.55</v>
      </c>
      <c r="B12" s="1">
        <v>277</v>
      </c>
      <c r="C12" s="1">
        <v>60</v>
      </c>
      <c r="D12" s="1">
        <v>276.92</v>
      </c>
      <c r="E12" s="1">
        <v>338.1</v>
      </c>
      <c r="F12" s="1">
        <v>79.66</v>
      </c>
      <c r="G12" s="1">
        <v>0.85070000000000001</v>
      </c>
      <c r="H12" s="1">
        <v>13.47</v>
      </c>
      <c r="I12" s="1">
        <v>47.898000000000003</v>
      </c>
      <c r="J12" s="1">
        <v>1547.3</v>
      </c>
      <c r="K12" s="1">
        <v>74.12</v>
      </c>
      <c r="L12" s="1">
        <v>-0.21299999999999999</v>
      </c>
      <c r="M12" s="1">
        <v>-0.17449999999999999</v>
      </c>
      <c r="N12" s="1">
        <v>93.045400000000001</v>
      </c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66" spans="16:20" x14ac:dyDescent="0.25">
      <c r="P66" t="s">
        <v>8</v>
      </c>
      <c r="Q66">
        <v>1.55</v>
      </c>
    </row>
    <row r="67" spans="16:20" x14ac:dyDescent="0.25">
      <c r="P67" s="4">
        <v>15</v>
      </c>
      <c r="Q67" s="5" t="s">
        <v>4</v>
      </c>
      <c r="R67" s="6" t="s">
        <v>5</v>
      </c>
      <c r="S67" s="7" t="s">
        <v>6</v>
      </c>
      <c r="T67" s="7" t="s">
        <v>7</v>
      </c>
    </row>
    <row r="68" spans="16:20" x14ac:dyDescent="0.25">
      <c r="P68" s="4">
        <v>100</v>
      </c>
      <c r="Q68" s="4">
        <f>$Q$66*1.05</f>
        <v>1.6275000000000002</v>
      </c>
      <c r="R68" s="4">
        <f>$Q$66*0.95</f>
        <v>1.4724999999999999</v>
      </c>
      <c r="S68" s="4"/>
      <c r="T68" s="4">
        <f>Vo-(7*Vo/100)</f>
        <v>0</v>
      </c>
    </row>
    <row r="69" spans="16:20" x14ac:dyDescent="0.25">
      <c r="P69" s="4">
        <v>0</v>
      </c>
      <c r="Q69" s="4">
        <f>Q66*1.05</f>
        <v>1.6275000000000002</v>
      </c>
      <c r="R69" s="4">
        <f>$Q$66*0.95</f>
        <v>1.4724999999999999</v>
      </c>
      <c r="S69" s="4"/>
      <c r="T69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Regulation</vt:lpstr>
      <vt:lpstr>'Line Regulation'!Vo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2022-05-04T08:05:55Z</dcterms:created>
  <dcterms:modified xsi:type="dcterms:W3CDTF">2022-05-05T00:14:21Z</dcterms:modified>
</cp:coreProperties>
</file>