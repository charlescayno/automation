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90" yWindow="870" windowWidth="12915" windowHeight="11760" tabRatio="600" firstSheet="0" activeTab="0" autoFilterDateGrouping="1"/>
  </bookViews>
  <sheets>
    <sheet xmlns:r="http://schemas.openxmlformats.org/officeDocument/2006/relationships" name="LLC Design Tool" sheetId="1" state="visible" r:id="rId1"/>
    <sheet xmlns:r="http://schemas.openxmlformats.org/officeDocument/2006/relationships" name="PeakGainCurve" sheetId="2" state="hidden" r:id="rId2"/>
    <sheet xmlns:r="http://schemas.openxmlformats.org/officeDocument/2006/relationships" name="GainCurve" sheetId="3" state="hidden" r:id="rId3"/>
    <sheet xmlns:r="http://schemas.openxmlformats.org/officeDocument/2006/relationships" name="ICS_attn_aprox" sheetId="4" state="hidden" r:id="rId4"/>
    <sheet xmlns:r="http://schemas.openxmlformats.org/officeDocument/2006/relationships" name="Gvc_transfer_function" sheetId="5" state="hidden" r:id="rId5"/>
  </sheets>
  <definedNames>
    <definedName name="Ae">'LLC Design Tool'!$C$69</definedName>
    <definedName name="answer">'LLC Design Tool'!$C$20</definedName>
    <definedName name="Attn1">'LLC Design Tool'!$C$98</definedName>
    <definedName name="attn2">'LLC Design Tool'!$C$99</definedName>
    <definedName name="Bmax">'LLC Design Tool'!$C$70</definedName>
    <definedName name="BRIDGE">'LLC Design Tool'!$C$18</definedName>
    <definedName name="C.DT">'LLC Design Tool'!$C$126</definedName>
    <definedName name="Ccomp.HF">#REF!*10^-12</definedName>
    <definedName name="Ccomp.LF">#REF!*10^-12</definedName>
    <definedName name="Cdl">'LLC Design Tool'!$C$11</definedName>
    <definedName name="CICS">'LLC Design Tool'!$C$96</definedName>
    <definedName name="coef0">ICS_attn_aprox!$G$2</definedName>
    <definedName name="coef1">ICS_attn_aprox!$F$2</definedName>
    <definedName name="coef2">ICS_attn_aprox!$E$2</definedName>
    <definedName name="coef3">ICS_attn_aprox!$D$2</definedName>
    <definedName name="coef4">ICS_attn_aprox!$C$2</definedName>
    <definedName name="Cout">'LLC Design Tool'!$C$83</definedName>
    <definedName name="Cr">'LLC Design Tool'!$G$37</definedName>
    <definedName name="Crd">'LLC Design Tool'!$C$39</definedName>
    <definedName name="Eff">'LLC Design Tool'!$C$8</definedName>
    <definedName name="ESR">'LLC Design Tool'!$C$84</definedName>
    <definedName name="f_min">'LLC Design Tool'!$C$77</definedName>
    <definedName name="f_min.curve">GainCurve!$I$3</definedName>
    <definedName name="f_min.RFMIN">'LLC Design Tool'!$C$111</definedName>
    <definedName name="fo">'LLC Design Tool'!$G$41</definedName>
    <definedName name="fod">'LLC Design Tool'!$C$37</definedName>
    <definedName name="fs_nrm">'LLC Design Tool'!$C$76</definedName>
    <definedName name="gm">#REF!*10^-6</definedName>
    <definedName name="I.PR.ocp">'LLC Design Tool'!$C$88</definedName>
    <definedName name="Io">'LLC Design Tool'!$C$7</definedName>
    <definedName name="Io.olp">'LLC Design Tool'!$C$89</definedName>
    <definedName name="Iocp">'LLC Design Tool'!$C$75</definedName>
    <definedName name="k">1000</definedName>
    <definedName name="kramp">Gvc_transfer_function!$B$3</definedName>
    <definedName name="Lp">'LLC Design Tool'!$G$39</definedName>
    <definedName name="Lr">'LLC Design Tool'!$G$38</definedName>
    <definedName name="Lrd">'LLC Design Tool'!$C$40</definedName>
    <definedName name="m">0.001</definedName>
    <definedName name="M_min">'LLC Design Tool'!$C$26</definedName>
    <definedName name="Ma">'LLC Design Tool'!$G$42</definedName>
    <definedName name="Max_Gain_required">'LLC Design Tool'!$C$27</definedName>
    <definedName name="MC">GainCurve!$B$5</definedName>
    <definedName name="mm">'LLC Design Tool'!$C$14</definedName>
    <definedName name="Mv">GainCurve!$B$5</definedName>
    <definedName name="n">'LLC Design Tool'!$G$4</definedName>
    <definedName name="nct">'LLC Design Tool'!$C$90</definedName>
    <definedName name="nn">'LLC Design Tool'!$G$30</definedName>
    <definedName name="Np">'LLC Design Tool'!$G$70</definedName>
    <definedName name="Ns">'LLC Design Tool'!$C$72</definedName>
    <definedName name="Pin">'LLC Design Tool'!$G$7</definedName>
    <definedName name="Po">'LLC Design Tool'!$G$6</definedName>
    <definedName name="Q">'LLC Design Tool'!$G$40</definedName>
    <definedName name="Q.e">GainCurve!$B$4</definedName>
    <definedName name="Qd">'LLC Design Tool'!$C$38</definedName>
    <definedName name="R.DT">'LLC Design Tool'!$C$127</definedName>
    <definedName name="R_load">Gvc_transfer_function!$B$4</definedName>
    <definedName name="Rac">'LLC Design Tool'!$G$33</definedName>
    <definedName name="Rac.e">GainCurve!$B$3</definedName>
    <definedName name="Rcomp">#REF!*10^3</definedName>
    <definedName name="RCS">'LLC Design Tool'!$C$92</definedName>
    <definedName name="RECTIFIER">'LLC Design Tool'!$C$19</definedName>
    <definedName name="RICS">'LLC Design Tool'!$C$101</definedName>
    <definedName name="RSLP">'LLC Design Tool'!$C$97</definedName>
    <definedName name="Thu">'LLC Design Tool'!$C$10</definedName>
    <definedName name="u">'LLC Design Tool'!$G$3</definedName>
    <definedName name="VCOMP.PWM">'LLC Design Tool'!$C$115</definedName>
    <definedName name="VF">'LLC Design Tool'!$C$30</definedName>
    <definedName name="VICS.SLP">'LLC Design Tool'!$C$100</definedName>
    <definedName name="Vin_max">'LLC Design Tool'!$C$9</definedName>
    <definedName name="Vin_min">'LLC Design Tool'!$G$9</definedName>
    <definedName name="Vo">'LLC Design Tool'!$C$6</definedName>
    <definedName name="wm">GainCurve!$D$11</definedName>
    <definedName name="wo">GainCurve!$B$1</definedName>
    <definedName name="wp">GainCurve!$B$2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8">
    <numFmt numFmtId="164" formatCode="0.0E+00"/>
    <numFmt numFmtId="165" formatCode="0.0_ "/>
    <numFmt numFmtId="166" formatCode="0.00_ "/>
    <numFmt numFmtId="167" formatCode="0_ "/>
    <numFmt numFmtId="168" formatCode="0.0"/>
    <numFmt numFmtId="169" formatCode="0.0000000"/>
    <numFmt numFmtId="170" formatCode="_-* #,##0_-;\-* #,##0_-;_-* &quot;-&quot;_-;_-@_-"/>
    <numFmt numFmtId="171" formatCode="#,##0.0"/>
  </numFmts>
  <fonts count="3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color indexed="9"/>
      <sz val="10"/>
    </font>
    <font>
      <name val="Arial"/>
      <family val="2"/>
      <sz val="10"/>
      <u val="single"/>
    </font>
    <font>
      <name val="Arial"/>
      <family val="2"/>
      <b val="1"/>
      <sz val="10"/>
      <u val="single"/>
    </font>
    <font>
      <name val="Arial"/>
      <family val="2"/>
      <color indexed="12"/>
      <sz val="10"/>
    </font>
    <font>
      <name val="Arial"/>
      <family val="2"/>
      <b val="1"/>
      <color indexed="60"/>
      <sz val="10"/>
    </font>
    <font>
      <name val="Arial"/>
      <family val="2"/>
      <color indexed="12"/>
      <sz val="9"/>
    </font>
    <font>
      <name val="Arial"/>
      <family val="2"/>
      <sz val="9"/>
    </font>
    <font>
      <name val="Arial"/>
      <family val="2"/>
      <color theme="0"/>
      <sz val="10"/>
    </font>
    <font>
      <name val="Arial"/>
      <family val="2"/>
      <b val="1"/>
      <color indexed="8"/>
      <sz val="10"/>
    </font>
    <font>
      <name val="Arial"/>
      <family val="2"/>
      <color indexed="12"/>
      <sz val="10"/>
      <vertAlign val="superscript"/>
    </font>
    <font>
      <name val="Arial"/>
      <family val="2"/>
      <b val="1"/>
      <color indexed="16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FF0000"/>
      <sz val="10"/>
    </font>
    <font>
      <name val="Arial"/>
      <family val="2"/>
      <b val="1"/>
      <color indexed="60"/>
      <sz val="10"/>
      <vertAlign val="subscript"/>
    </font>
    <font>
      <name val="Arial"/>
      <family val="2"/>
      <color rgb="FF0070C0"/>
      <sz val="10"/>
    </font>
    <font>
      <name val="Arial"/>
      <family val="2"/>
      <color theme="1"/>
      <sz val="10"/>
    </font>
    <font>
      <name val="Arial"/>
      <family val="2"/>
      <b val="1"/>
      <color indexed="12"/>
      <sz val="10"/>
    </font>
    <font>
      <name val="Calibri"/>
      <charset val="136"/>
      <family val="3"/>
      <sz val="9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Cambria"/>
      <family val="1"/>
      <b val="1"/>
      <sz val="11"/>
      <scheme val="major"/>
    </font>
    <font>
      <name val="Calibri"/>
      <family val="2"/>
      <b val="1"/>
      <sz val="11"/>
      <scheme val="minor"/>
    </font>
    <font>
      <name val="Arial"/>
      <family val="2"/>
      <b val="1"/>
      <color rgb="FFC00000"/>
      <sz val="10"/>
      <vertAlign val="subscript"/>
    </font>
    <font>
      <name val="Calibri"/>
      <family val="2"/>
      <color indexed="81"/>
      <sz val="10"/>
      <scheme val="minor"/>
    </font>
    <font>
      <name val="Arial"/>
      <family val="2"/>
      <color theme="0" tint="-0.499984740745262"/>
      <sz val="10"/>
    </font>
    <font>
      <name val="Arial"/>
      <family val="2"/>
      <color rgb="FFFF0000"/>
      <sz val="10"/>
    </font>
    <font>
      <name val="Calibri"/>
      <family val="2"/>
      <color theme="1"/>
      <sz val="11"/>
      <vertAlign val="subscript"/>
      <scheme val="minor"/>
    </font>
    <font>
      <name val="Arial"/>
      <family val="2"/>
      <color rgb="FF993300"/>
      <sz val="11"/>
    </font>
    <font>
      <name val="Arial"/>
      <family val="2"/>
      <sz val="11"/>
    </font>
  </fonts>
  <fills count="19">
    <fill>
      <patternFill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7A7EC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7FEEF1"/>
        <bgColor indexed="64"/>
      </patternFill>
    </fill>
    <fill>
      <patternFill patternType="solid">
        <fgColor rgb="FFEE96D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0" borderId="0" applyProtection="1" pivotButton="0" quotePrefix="0" xfId="0">
      <protection locked="1" hidden="1"/>
    </xf>
    <xf numFmtId="0" fontId="6" fillId="2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4" fontId="5" fillId="0" borderId="0" applyProtection="1" pivotButton="0" quotePrefix="0" xfId="0">
      <protection locked="1" hidden="1"/>
    </xf>
    <xf numFmtId="0" fontId="7" fillId="3" borderId="0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4" fillId="4" borderId="0" applyProtection="1" pivotButton="0" quotePrefix="0" xfId="0">
      <protection locked="1" hidden="1"/>
    </xf>
    <xf numFmtId="0" fontId="1" fillId="4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1" fillId="2" borderId="0" applyProtection="1" pivotButton="0" quotePrefix="0" xfId="0">
      <protection locked="0" hidden="0"/>
    </xf>
    <xf numFmtId="0" fontId="9" fillId="0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165" fontId="3" fillId="3" borderId="0" applyProtection="1" pivotButton="0" quotePrefix="0" xfId="0">
      <protection locked="1" hidden="1"/>
    </xf>
    <xf numFmtId="0" fontId="10" fillId="5" borderId="1" applyProtection="1" pivotButton="0" quotePrefix="0" xfId="0">
      <protection locked="1" hidden="1"/>
    </xf>
    <xf numFmtId="0" fontId="11" fillId="5" borderId="2" applyProtection="1" pivotButton="0" quotePrefix="0" xfId="0">
      <protection locked="1" hidden="1"/>
    </xf>
    <xf numFmtId="0" fontId="11" fillId="5" borderId="3" applyProtection="1" pivotButton="0" quotePrefix="0" xfId="0">
      <protection locked="1" hidden="1"/>
    </xf>
    <xf numFmtId="0" fontId="10" fillId="5" borderId="4" applyProtection="1" pivotButton="0" quotePrefix="0" xfId="0">
      <protection locked="1" hidden="1"/>
    </xf>
    <xf numFmtId="0" fontId="11" fillId="5" borderId="5" applyProtection="1" pivotButton="0" quotePrefix="0" xfId="0">
      <protection locked="1" hidden="1"/>
    </xf>
    <xf numFmtId="0" fontId="11" fillId="5" borderId="6" applyProtection="1" pivotButton="0" quotePrefix="0" xfId="0">
      <protection locked="1" hidden="1"/>
    </xf>
    <xf numFmtId="166" fontId="3" fillId="3" borderId="0" applyProtection="1" pivotButton="0" quotePrefix="0" xfId="0">
      <protection locked="1" hidden="1"/>
    </xf>
    <xf numFmtId="166" fontId="8" fillId="2" borderId="0" applyProtection="1" pivotButton="0" quotePrefix="0" xfId="0">
      <protection locked="0" hidden="0"/>
    </xf>
    <xf numFmtId="0" fontId="12" fillId="0" borderId="0" applyProtection="1" pivotButton="0" quotePrefix="0" xfId="0">
      <protection locked="1" hidden="1"/>
    </xf>
    <xf numFmtId="167" fontId="3" fillId="3" borderId="0" applyProtection="1" pivotButton="0" quotePrefix="0" xfId="0">
      <protection locked="1" hidden="1"/>
    </xf>
    <xf numFmtId="0" fontId="1" fillId="0" borderId="1" applyProtection="1" pivotButton="0" quotePrefix="0" xfId="0">
      <protection locked="1" hidden="1"/>
    </xf>
    <xf numFmtId="0" fontId="3" fillId="0" borderId="3" applyProtection="1" pivotButton="0" quotePrefix="0" xfId="0">
      <protection locked="1" hidden="1"/>
    </xf>
    <xf numFmtId="0" fontId="1" fillId="0" borderId="7" applyProtection="1" pivotButton="0" quotePrefix="0" xfId="0">
      <protection locked="1" hidden="1"/>
    </xf>
    <xf numFmtId="0" fontId="1" fillId="0" borderId="8" applyProtection="1" pivotButton="0" quotePrefix="0" xfId="0">
      <protection locked="1" hidden="1"/>
    </xf>
    <xf numFmtId="0" fontId="9" fillId="0" borderId="7" applyProtection="1" pivotButton="0" quotePrefix="0" xfId="0">
      <protection locked="1" hidden="1"/>
    </xf>
    <xf numFmtId="165" fontId="3" fillId="3" borderId="0" applyProtection="1" pivotButton="0" quotePrefix="0" xfId="0">
      <protection locked="1" hidden="1"/>
    </xf>
    <xf numFmtId="0" fontId="3" fillId="0" borderId="8" applyProtection="1" pivotButton="0" quotePrefix="0" xfId="0">
      <protection locked="1" hidden="1"/>
    </xf>
    <xf numFmtId="167" fontId="3" fillId="3" borderId="0" applyProtection="1" pivotButton="0" quotePrefix="0" xfId="0">
      <protection locked="1" hidden="1"/>
    </xf>
    <xf numFmtId="166" fontId="3" fillId="3" borderId="0" applyProtection="1" pivotButton="0" quotePrefix="0" xfId="0">
      <protection locked="1" hidden="1"/>
    </xf>
    <xf numFmtId="0" fontId="9" fillId="0" borderId="4" applyProtection="1" pivotButton="0" quotePrefix="0" xfId="0">
      <protection locked="1" hidden="1"/>
    </xf>
    <xf numFmtId="167" fontId="3" fillId="3" borderId="5" applyProtection="1" pivotButton="0" quotePrefix="0" xfId="0">
      <protection locked="1" hidden="1"/>
    </xf>
    <xf numFmtId="0" fontId="3" fillId="0" borderId="6" applyProtection="1" pivotButton="0" quotePrefix="0" xfId="0">
      <protection locked="1" hidden="1"/>
    </xf>
    <xf numFmtId="0" fontId="15" fillId="0" borderId="0" applyProtection="1" pivotButton="0" quotePrefix="0" xfId="0">
      <protection locked="1" hidden="1"/>
    </xf>
    <xf numFmtId="2" fontId="3" fillId="3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2" fontId="1" fillId="6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7" fillId="0" borderId="0" applyProtection="1" pivotButton="0" quotePrefix="0" xfId="0">
      <protection locked="1" hidden="1"/>
    </xf>
    <xf numFmtId="0" fontId="8" fillId="7" borderId="0" applyProtection="1" pivotButton="0" quotePrefix="0" xfId="0">
      <protection locked="1" hidden="1"/>
    </xf>
    <xf numFmtId="1" fontId="3" fillId="3" borderId="0" applyProtection="1" pivotButton="0" quotePrefix="0" xfId="0">
      <protection locked="1" hidden="1"/>
    </xf>
    <xf numFmtId="4" fontId="3" fillId="3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1" fontId="1" fillId="6" borderId="0" applyProtection="1" pivotButton="0" quotePrefix="0" xfId="0">
      <protection locked="1" hidden="1"/>
    </xf>
    <xf numFmtId="168" fontId="1" fillId="6" borderId="0" applyProtection="1" pivotButton="0" quotePrefix="0" xfId="0">
      <protection locked="1" hidden="1"/>
    </xf>
    <xf numFmtId="166" fontId="1" fillId="0" borderId="0" applyProtection="1" pivotButton="0" quotePrefix="0" xfId="0">
      <protection locked="1" hidden="1"/>
    </xf>
    <xf numFmtId="11" fontId="1" fillId="0" borderId="0" applyProtection="1" pivotButton="0" quotePrefix="0" xfId="0">
      <protection locked="1" hidden="1"/>
    </xf>
    <xf numFmtId="0" fontId="19" fillId="0" borderId="0" applyProtection="1" pivotButton="0" quotePrefix="0" xfId="0">
      <protection locked="1" hidden="1"/>
    </xf>
    <xf numFmtId="0" fontId="1" fillId="9" borderId="0" applyProtection="1" pivotButton="0" quotePrefix="0" xfId="0">
      <protection locked="1" hidden="1"/>
    </xf>
    <xf numFmtId="0" fontId="0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166" fontId="0" fillId="0" borderId="0" pivotButton="0" quotePrefix="0" xfId="0"/>
    <xf numFmtId="2" fontId="0" fillId="14" borderId="0" pivotButton="0" quotePrefix="0" xfId="0"/>
    <xf numFmtId="4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168" fontId="20" fillId="17" borderId="0" applyProtection="1" pivotButton="0" quotePrefix="0" xfId="0">
      <protection locked="1" hidden="1"/>
    </xf>
    <xf numFmtId="0" fontId="21" fillId="0" borderId="0" applyProtection="1" pivotButton="0" quotePrefix="0" xfId="0">
      <protection locked="1" hidden="1"/>
    </xf>
    <xf numFmtId="0" fontId="21" fillId="2" borderId="0" applyProtection="1" pivotButton="0" quotePrefix="0" xfId="0">
      <protection locked="0" hidden="0"/>
    </xf>
    <xf numFmtId="169" fontId="1" fillId="0" borderId="0" applyProtection="1" pivotButton="0" quotePrefix="0" xfId="0">
      <protection locked="1" hidden="1"/>
    </xf>
    <xf numFmtId="165" fontId="3" fillId="16" borderId="0" applyProtection="1" pivotButton="0" quotePrefix="0" xfId="0">
      <protection locked="0" hidden="0"/>
    </xf>
    <xf numFmtId="0" fontId="1" fillId="2" borderId="2" applyProtection="1" pivotButton="0" quotePrefix="0" xfId="0">
      <protection locked="0" hidden="0"/>
    </xf>
    <xf numFmtId="0" fontId="1" fillId="2" borderId="0" applyProtection="1" pivotButton="0" quotePrefix="0" xfId="0">
      <protection locked="0" hidden="0"/>
    </xf>
    <xf numFmtId="0" fontId="8" fillId="2" borderId="0" applyProtection="1" pivotButton="0" quotePrefix="0" xfId="0">
      <protection locked="0" hidden="0"/>
    </xf>
    <xf numFmtId="0" fontId="1" fillId="8" borderId="0" applyProtection="1" pivotButton="0" quotePrefix="0" xfId="0">
      <protection locked="0" hidden="0"/>
    </xf>
    <xf numFmtId="0" fontId="23" fillId="0" borderId="0" pivotButton="0" quotePrefix="0" xfId="0"/>
    <xf numFmtId="0" fontId="1" fillId="17" borderId="0" applyProtection="1" pivotButton="0" quotePrefix="0" xfId="0">
      <protection locked="1" hidden="1"/>
    </xf>
    <xf numFmtId="0" fontId="0" fillId="0" borderId="0" applyAlignment="1" pivotButton="0" quotePrefix="0" xfId="0">
      <alignment horizontal="right"/>
    </xf>
    <xf numFmtId="0" fontId="0" fillId="0" borderId="0" pivotButton="0" quotePrefix="1" xfId="0"/>
    <xf numFmtId="0" fontId="25" fillId="11" borderId="9" applyAlignment="1" pivotButton="0" quotePrefix="0" xfId="0">
      <alignment horizontal="right"/>
    </xf>
    <xf numFmtId="3" fontId="25" fillId="11" borderId="10" pivotButton="0" quotePrefix="0" xfId="0"/>
    <xf numFmtId="4" fontId="25" fillId="11" borderId="10" pivotButton="0" quotePrefix="0" xfId="0"/>
    <xf numFmtId="0" fontId="26" fillId="11" borderId="9" applyAlignment="1" pivotButton="0" quotePrefix="0" xfId="0">
      <alignment horizontal="right"/>
    </xf>
    <xf numFmtId="11" fontId="26" fillId="11" borderId="10" pivotButton="0" quotePrefix="0" xfId="0"/>
    <xf numFmtId="165" fontId="26" fillId="11" borderId="10" pivotButton="0" quotePrefix="0" xfId="0"/>
    <xf numFmtId="0" fontId="26" fillId="11" borderId="9" pivotButton="0" quotePrefix="0" xfId="0"/>
    <xf numFmtId="0" fontId="26" fillId="11" borderId="10" pivotButton="0" quotePrefix="0" xfId="0"/>
    <xf numFmtId="170" fontId="26" fillId="11" borderId="10" pivotButton="0" quotePrefix="0" xfId="0"/>
    <xf numFmtId="166" fontId="26" fillId="11" borderId="10" pivotButton="0" quotePrefix="0" xfId="0"/>
    <xf numFmtId="168" fontId="1" fillId="6" borderId="0" applyAlignment="1" applyProtection="1" pivotButton="0" quotePrefix="0" xfId="0">
      <alignment horizontal="right"/>
      <protection locked="1" hidden="1"/>
    </xf>
    <xf numFmtId="0" fontId="29" fillId="0" borderId="0" applyProtection="1" pivotButton="0" quotePrefix="0" xfId="0">
      <protection locked="1" hidden="1"/>
    </xf>
    <xf numFmtId="171" fontId="3" fillId="3" borderId="0" applyProtection="1" pivotButton="0" quotePrefix="0" xfId="0">
      <protection locked="1" hidden="1"/>
    </xf>
    <xf numFmtId="0" fontId="30" fillId="0" borderId="0" applyProtection="1" pivotButton="0" quotePrefix="0" xfId="0">
      <protection locked="1" hidden="1"/>
    </xf>
    <xf numFmtId="168" fontId="1" fillId="6" borderId="11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0" fontId="32" fillId="0" borderId="0" applyProtection="1" pivotButton="0" quotePrefix="0" xfId="0">
      <protection locked="1" hidden="1"/>
    </xf>
    <xf numFmtId="0" fontId="33" fillId="0" borderId="0" pivotButton="0" quotePrefix="0" xfId="0"/>
    <xf numFmtId="0" fontId="0" fillId="18" borderId="0" pivotButton="0" quotePrefix="0" xfId="0"/>
    <xf numFmtId="0" fontId="11" fillId="8" borderId="0" applyProtection="1" pivotButton="0" quotePrefix="0" xfId="0">
      <protection locked="0" hidden="0"/>
    </xf>
    <xf numFmtId="2" fontId="8" fillId="17" borderId="0" applyProtection="1" pivotButton="0" quotePrefix="0" xfId="0">
      <protection locked="1" hidden="1"/>
    </xf>
    <xf numFmtId="168" fontId="8" fillId="17" borderId="0" applyProtection="1" pivotButton="0" quotePrefix="0" xfId="0">
      <protection locked="1" hidden="1"/>
    </xf>
    <xf numFmtId="0" fontId="13" fillId="0" borderId="12" applyProtection="1" pivotButton="0" quotePrefix="0" xfId="0">
      <protection locked="1" hidden="1"/>
    </xf>
    <xf numFmtId="0" fontId="1" fillId="2" borderId="13" applyProtection="1" pivotButton="0" quotePrefix="0" xfId="0">
      <protection locked="0" hidden="0"/>
    </xf>
    <xf numFmtId="0" fontId="3" fillId="0" borderId="14" applyProtection="1" pivotButton="0" quotePrefix="0" xfId="0">
      <protection locked="1" hidden="1"/>
    </xf>
    <xf numFmtId="0" fontId="13" fillId="0" borderId="15" applyProtection="1" pivotButton="0" quotePrefix="0" xfId="0">
      <protection locked="1" hidden="1"/>
    </xf>
    <xf numFmtId="0" fontId="3" fillId="0" borderId="16" applyProtection="1" pivotButton="0" quotePrefix="0" xfId="0">
      <protection locked="1" hidden="1"/>
    </xf>
    <xf numFmtId="0" fontId="9" fillId="0" borderId="15" applyProtection="1" pivotButton="0" quotePrefix="0" xfId="0">
      <protection locked="1" hidden="1"/>
    </xf>
    <xf numFmtId="0" fontId="9" fillId="0" borderId="17" applyProtection="1" pivotButton="0" quotePrefix="0" xfId="0">
      <protection locked="1" hidden="1"/>
    </xf>
    <xf numFmtId="165" fontId="3" fillId="3" borderId="18" applyProtection="1" pivotButton="0" quotePrefix="0" xfId="0">
      <protection locked="1" hidden="1"/>
    </xf>
    <xf numFmtId="0" fontId="3" fillId="0" borderId="19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26" fillId="15" borderId="9" applyAlignment="1" pivotButton="0" quotePrefix="0" xfId="0">
      <alignment horizontal="center"/>
    </xf>
    <xf numFmtId="0" fontId="0" fillId="15" borderId="10" pivotButton="0" quotePrefix="0" xfId="0"/>
    <xf numFmtId="164" fontId="5" fillId="0" borderId="0" applyProtection="1" pivotButton="0" quotePrefix="0" xfId="0">
      <protection locked="1" hidden="1"/>
    </xf>
    <xf numFmtId="165" fontId="3" fillId="3" borderId="0" applyProtection="1" pivotButton="0" quotePrefix="0" xfId="0">
      <protection locked="1" hidden="1"/>
    </xf>
    <xf numFmtId="168" fontId="20" fillId="17" borderId="0" applyProtection="1" pivotButton="0" quotePrefix="0" xfId="0">
      <protection locked="1" hidden="1"/>
    </xf>
    <xf numFmtId="165" fontId="3" fillId="16" borderId="0" applyProtection="1" pivotButton="0" quotePrefix="0" xfId="0">
      <protection locked="0" hidden="0"/>
    </xf>
    <xf numFmtId="166" fontId="3" fillId="3" borderId="0" applyProtection="1" pivotButton="0" quotePrefix="0" xfId="0">
      <protection locked="1" hidden="1"/>
    </xf>
    <xf numFmtId="166" fontId="8" fillId="2" borderId="0" applyProtection="1" pivotButton="0" quotePrefix="0" xfId="0">
      <protection locked="0" hidden="0"/>
    </xf>
    <xf numFmtId="167" fontId="3" fillId="3" borderId="0" applyProtection="1" pivotButton="0" quotePrefix="0" xfId="0">
      <protection locked="1" hidden="1"/>
    </xf>
    <xf numFmtId="167" fontId="3" fillId="3" borderId="5" applyProtection="1" pivotButton="0" quotePrefix="0" xfId="0">
      <protection locked="1" hidden="1"/>
    </xf>
    <xf numFmtId="165" fontId="3" fillId="3" borderId="18" applyProtection="1" pivotButton="0" quotePrefix="0" xfId="0">
      <protection locked="1" hidden="1"/>
    </xf>
    <xf numFmtId="169" fontId="1" fillId="0" borderId="0" applyProtection="1" pivotButton="0" quotePrefix="0" xfId="0">
      <protection locked="1" hidden="1"/>
    </xf>
    <xf numFmtId="168" fontId="8" fillId="17" borderId="0" applyProtection="1" pivotButton="0" quotePrefix="0" xfId="0">
      <protection locked="1" hidden="1"/>
    </xf>
    <xf numFmtId="168" fontId="1" fillId="6" borderId="0" applyProtection="1" pivotButton="0" quotePrefix="0" xfId="0">
      <protection locked="1" hidden="1"/>
    </xf>
    <xf numFmtId="168" fontId="1" fillId="6" borderId="11" applyProtection="1" pivotButton="0" quotePrefix="0" xfId="0">
      <protection locked="1" hidden="1"/>
    </xf>
    <xf numFmtId="168" fontId="1" fillId="6" borderId="0" applyAlignment="1" applyProtection="1" pivotButton="0" quotePrefix="0" xfId="0">
      <alignment horizontal="right"/>
      <protection locked="1" hidden="1"/>
    </xf>
    <xf numFmtId="166" fontId="1" fillId="0" borderId="0" applyProtection="1" pivotButton="0" quotePrefix="0" xfId="0">
      <protection locked="1" hidden="1"/>
    </xf>
    <xf numFmtId="166" fontId="0" fillId="0" borderId="0" pivotButton="0" quotePrefix="0" xfId="0"/>
    <xf numFmtId="0" fontId="26" fillId="15" borderId="20" applyAlignment="1" pivotButton="0" quotePrefix="0" xfId="0">
      <alignment horizontal="center"/>
    </xf>
    <xf numFmtId="0" fontId="0" fillId="0" borderId="10" pivotButton="0" quotePrefix="0" xfId="0"/>
    <xf numFmtId="165" fontId="26" fillId="11" borderId="10" pivotButton="0" quotePrefix="0" xfId="0"/>
    <xf numFmtId="170" fontId="26" fillId="11" borderId="10" pivotButton="0" quotePrefix="0" xfId="0"/>
    <xf numFmtId="166" fontId="26" fillId="11" borderId="1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340140956956652"/>
          <y val="0.02228462883422542"/>
          <w val="0.817987582060717"/>
          <h val="0.8883362966725934"/>
        </manualLayout>
      </layout>
      <scatterChart>
        <scatterStyle val="smoothMarker"/>
        <varyColors val="0"/>
        <ser>
          <idx val="0"/>
          <order val="0"/>
          <tx>
            <strRef>
              <f>PeakGainCurve!$B$26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PeakGainCurve!$B$27:$B$39</f>
              <numCache>
                <formatCode>General</formatCode>
                <ptCount val="13"/>
              </numCache>
            </numRef>
          </yVal>
          <smooth val="1"/>
        </ser>
        <ser>
          <idx val="1"/>
          <order val="1"/>
          <tx>
            <strRef>
              <f>PeakGainCurve!$C$26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PeakGainCurve!$C$27:$C$39</f>
              <numCache>
                <formatCode>General</formatCode>
                <ptCount val="13"/>
              </numCache>
            </numRef>
          </yVal>
          <smooth val="1"/>
        </ser>
        <ser>
          <idx val="2"/>
          <order val="2"/>
          <tx>
            <strRef>
              <f>PeakGainCurve!$D$26</f>
              <strCache>
                <ptCount val="1"/>
                <pt idx="0">
                  <v>m=2.5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PeakGainCurve!$D$27:$D$39</f>
              <numCache>
                <formatCode>General</formatCode>
                <ptCount val="13"/>
                <pt idx="1">
                  <v>1.373</v>
                </pt>
                <pt idx="2">
                  <v>1.391</v>
                </pt>
                <pt idx="3">
                  <v>1.416</v>
                </pt>
                <pt idx="4">
                  <v>1.45</v>
                </pt>
                <pt idx="5">
                  <v>1.502</v>
                </pt>
                <pt idx="6">
                  <v>1.582</v>
                </pt>
                <pt idx="7">
                  <v>1.707</v>
                </pt>
                <pt idx="8">
                  <v>1.912</v>
                </pt>
                <pt idx="9">
                  <v>2.256</v>
                </pt>
                <pt idx="10">
                  <v>2.876</v>
                </pt>
                <pt idx="11">
                  <v>4.183</v>
                </pt>
                <pt idx="12">
                  <v>8.215</v>
                </pt>
              </numCache>
            </numRef>
          </yVal>
          <smooth val="1"/>
        </ser>
        <ser>
          <idx val="3"/>
          <order val="3"/>
          <tx>
            <strRef>
              <f>PeakGainCurve!$E$26</f>
              <strCache>
                <ptCount val="1"/>
                <pt idx="0">
                  <v>m=3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PeakGainCurve!$E$27:$E$39</f>
              <numCache>
                <formatCode>General</formatCode>
                <ptCount val="13"/>
                <pt idx="1">
                  <v>1.279</v>
                </pt>
                <pt idx="2">
                  <v>1.291</v>
                </pt>
                <pt idx="3">
                  <v>1.308</v>
                </pt>
                <pt idx="4">
                  <v>1.331</v>
                </pt>
                <pt idx="5">
                  <v>1.368</v>
                </pt>
                <pt idx="6">
                  <v>1.426</v>
                </pt>
                <pt idx="7">
                  <v>1.523</v>
                </pt>
                <pt idx="8">
                  <v>1.688</v>
                </pt>
                <pt idx="9">
                  <v>1.976</v>
                </pt>
                <pt idx="10">
                  <v>2.507</v>
                </pt>
                <pt idx="11">
                  <v>3.629</v>
                </pt>
                <pt idx="12">
                  <v>7.066</v>
                </pt>
              </numCache>
            </numRef>
          </yVal>
          <smooth val="1"/>
        </ser>
        <ser>
          <idx val="4"/>
          <order val="4"/>
          <tx>
            <strRef>
              <f>PeakGainCurve!$F$26</f>
              <strCache>
                <ptCount val="1"/>
                <pt idx="0">
                  <v>m=3.5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PeakGainCurve!$F$27:$F$39</f>
              <numCache>
                <formatCode>General</formatCode>
                <ptCount val="13"/>
                <pt idx="1">
                  <v>1.221</v>
                </pt>
                <pt idx="2">
                  <v>1.23</v>
                </pt>
                <pt idx="3">
                  <v>1.241</v>
                </pt>
                <pt idx="4">
                  <v>1.259</v>
                </pt>
                <pt idx="5">
                  <v>1.285</v>
                </pt>
                <pt idx="6">
                  <v>1.328</v>
                </pt>
                <pt idx="7">
                  <v>1.404</v>
                </pt>
                <pt idx="8">
                  <v>1.54</v>
                </pt>
                <pt idx="9">
                  <v>1.788</v>
                </pt>
                <pt idx="10">
                  <v>2.256</v>
                </pt>
                <pt idx="11">
                  <v>3.255</v>
                </pt>
                <pt idx="12">
                  <v>6.358</v>
                </pt>
              </numCache>
            </numRef>
          </yVal>
          <smooth val="1"/>
        </ser>
        <ser>
          <idx val="5"/>
          <order val="5"/>
          <tx>
            <strRef>
              <f>PeakGainCurve!$G$26</f>
              <strCache>
                <ptCount val="1"/>
                <pt idx="0">
                  <v>m=4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PeakGainCurve!$G$27:$G$39</f>
              <numCache>
                <formatCode>General</formatCode>
                <ptCount val="13"/>
                <pt idx="1">
                  <v>1.183</v>
                </pt>
                <pt idx="2">
                  <v>1.189</v>
                </pt>
                <pt idx="3">
                  <v>1.198</v>
                </pt>
                <pt idx="4">
                  <v>1.211</v>
                </pt>
                <pt idx="5">
                  <v>1.23</v>
                </pt>
                <pt idx="6">
                  <v>1.263</v>
                </pt>
                <pt idx="7">
                  <v>1.322</v>
                </pt>
                <pt idx="8">
                  <v>1.435</v>
                </pt>
                <pt idx="9">
                  <v>1.652</v>
                </pt>
                <pt idx="10">
                  <v>2.071</v>
                </pt>
                <pt idx="11">
                  <v>2.977</v>
                </pt>
                <pt idx="12">
                  <v>5.806</v>
                </pt>
              </numCache>
            </numRef>
          </yVal>
          <smooth val="1"/>
        </ser>
        <ser>
          <idx val="6"/>
          <order val="6"/>
          <tx>
            <strRef>
              <f>PeakGainCurve!$H$26</f>
              <strCache>
                <ptCount val="1"/>
                <pt idx="0">
                  <v>m=4.5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PeakGainCurve!$H$27:$H$39</f>
              <numCache>
                <formatCode>General</formatCode>
                <ptCount val="13"/>
                <pt idx="1">
                  <v>1.156</v>
                </pt>
                <pt idx="2">
                  <v>1.16</v>
                </pt>
                <pt idx="3">
                  <v>1.167</v>
                </pt>
                <pt idx="4">
                  <v>1.177</v>
                </pt>
                <pt idx="5">
                  <v>1.192</v>
                </pt>
                <pt idx="6">
                  <v>1.217</v>
                </pt>
                <pt idx="7">
                  <v>1.263</v>
                </pt>
                <pt idx="8">
                  <v>1.358</v>
                </pt>
                <pt idx="9">
                  <v>1.548</v>
                </pt>
                <pt idx="10">
                  <v>1.93</v>
                </pt>
                <pt idx="11">
                  <v>2.766</v>
                </pt>
                <pt idx="12">
                  <v>5.389</v>
                </pt>
              </numCache>
            </numRef>
          </yVal>
          <smooth val="1"/>
        </ser>
        <ser>
          <idx val="7"/>
          <order val="7"/>
          <tx>
            <strRef>
              <f>PeakGainCurve!$I$26</f>
              <strCache>
                <ptCount val="1"/>
                <pt idx="0">
                  <v>m=5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PeakGainCurve!$I$27:$I$39</f>
              <numCache>
                <formatCode>General</formatCode>
                <ptCount val="13"/>
                <pt idx="1">
                  <v>1.135</v>
                </pt>
                <pt idx="2">
                  <v>1.139</v>
                </pt>
                <pt idx="3">
                  <v>1.144</v>
                </pt>
                <pt idx="4">
                  <v>1.152</v>
                </pt>
                <pt idx="5">
                  <v>1.163</v>
                </pt>
                <pt idx="6">
                  <v>1.183</v>
                </pt>
                <pt idx="7">
                  <v>1.22</v>
                </pt>
                <pt idx="8">
                  <v>1.298</v>
                </pt>
                <pt idx="9">
                  <v>1.467</v>
                </pt>
                <pt idx="10">
                  <v>1.816</v>
                </pt>
                <pt idx="11">
                  <v>2.594</v>
                </pt>
                <pt idx="12">
                  <v>5.045</v>
                </pt>
              </numCache>
            </numRef>
          </yVal>
          <smooth val="1"/>
        </ser>
        <ser>
          <idx val="8"/>
          <order val="8"/>
          <tx>
            <strRef>
              <f>PeakGainCurve!$J$26</f>
              <strCache>
                <ptCount val="1"/>
                <pt idx="0">
                  <v>m=6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PeakGainCurve!$J$27:$J$39</f>
              <numCache>
                <formatCode>General</formatCode>
                <ptCount val="13"/>
                <pt idx="1">
                  <v>1.107</v>
                </pt>
                <pt idx="2">
                  <v>1.11</v>
                </pt>
                <pt idx="3">
                  <v>1.118</v>
                </pt>
                <pt idx="4">
                  <v>1.118</v>
                </pt>
                <pt idx="5">
                  <v>1.125</v>
                </pt>
                <pt idx="6">
                  <v>1.138</v>
                </pt>
                <pt idx="7">
                  <v>1.162</v>
                </pt>
                <pt idx="8">
                  <v>1.216</v>
                </pt>
                <pt idx="9">
                  <v>1.348</v>
                </pt>
                <pt idx="10">
                  <v>1.646</v>
                </pt>
                <pt idx="11">
                  <v>2.332</v>
                </pt>
                <pt idx="12">
                  <v>4.508</v>
                </pt>
              </numCache>
            </numRef>
          </yVal>
          <smooth val="1"/>
        </ser>
        <ser>
          <idx val="9"/>
          <order val="9"/>
          <tx>
            <strRef>
              <f>PeakGainCurve!$K$26</f>
              <strCache>
                <ptCount val="1"/>
                <pt idx="0">
                  <v>m=7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PeakGainCurve!$K$27:$K$39</f>
              <numCache>
                <formatCode>General</formatCode>
                <ptCount val="13"/>
                <pt idx="1">
                  <v>1.088</v>
                </pt>
                <pt idx="2">
                  <v>1.09</v>
                </pt>
                <pt idx="3">
                  <v>1.093</v>
                </pt>
                <pt idx="4">
                  <v>1.096</v>
                </pt>
                <pt idx="5">
                  <v>1.101</v>
                </pt>
                <pt idx="6">
                  <v>1.11</v>
                </pt>
                <pt idx="7">
                  <v>1.126</v>
                </pt>
                <pt idx="8">
                  <v>1.163</v>
                </pt>
                <pt idx="9">
                  <v>1.265</v>
                </pt>
                <pt idx="10">
                  <v>1.523</v>
                </pt>
                <pt idx="11">
                  <v>2.14</v>
                </pt>
                <pt idx="12">
                  <v>4.129</v>
                </pt>
              </numCache>
            </numRef>
          </yVal>
          <smooth val="1"/>
        </ser>
        <ser>
          <idx val="10"/>
          <order val="10"/>
          <tx>
            <strRef>
              <f>PeakGainCurve!$L$26</f>
              <strCache>
                <ptCount val="1"/>
                <pt idx="0">
                  <v>m=8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PeakGainCurve!$L$27:$L$39</f>
              <numCache>
                <formatCode>General</formatCode>
                <ptCount val="13"/>
                <pt idx="1">
                  <v>1.075</v>
                </pt>
                <pt idx="2">
                  <v>1.077</v>
                </pt>
                <pt idx="3">
                  <v>1.078</v>
                </pt>
                <pt idx="4">
                  <v>1.081</v>
                </pt>
                <pt idx="5">
                  <v>1.085</v>
                </pt>
                <pt idx="6">
                  <v>1.091</v>
                </pt>
                <pt idx="7">
                  <v>1.102</v>
                </pt>
                <pt idx="8">
                  <v>1.128</v>
                </pt>
                <pt idx="9">
                  <v>1.206</v>
                </pt>
                <pt idx="10">
                  <v>1.43</v>
                </pt>
                <pt idx="11">
                  <v>1.993</v>
                </pt>
                <pt idx="12">
                  <v>3.828</v>
                </pt>
              </numCache>
            </numRef>
          </yVal>
          <smooth val="1"/>
        </ser>
        <ser>
          <idx val="11"/>
          <order val="11"/>
          <tx>
            <strRef>
              <f>PeakGainCurve!$M$26</f>
              <strCache>
                <ptCount val="1"/>
                <pt idx="0">
                  <v>m=9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PeakGainCurve!$M$27:$M$39</f>
              <numCache>
                <formatCode>General</formatCode>
                <ptCount val="13"/>
                <pt idx="1">
                  <v>1.065</v>
                </pt>
                <pt idx="2">
                  <v>1.066</v>
                </pt>
                <pt idx="3">
                  <v>1.068</v>
                </pt>
                <pt idx="4">
                  <v>1.07</v>
                </pt>
                <pt idx="5">
                  <v>1.073</v>
                </pt>
                <pt idx="6">
                  <v>1.077</v>
                </pt>
                <pt idx="7">
                  <v>1.086</v>
                </pt>
                <pt idx="8">
                  <v>1.104</v>
                </pt>
                <pt idx="9">
                  <v>1.163</v>
                </pt>
                <pt idx="10">
                  <v>1.357</v>
                </pt>
                <pt idx="11">
                  <v>1.874</v>
                </pt>
                <pt idx="12">
                  <v>3.583</v>
                </pt>
              </numCache>
            </numRef>
          </yVal>
          <smooth val="1"/>
        </ser>
        <ser>
          <idx val="12"/>
          <order val="12"/>
          <tx>
            <strRef>
              <f>PeakGainCurve!$N$26</f>
              <strCache>
                <ptCount val="1"/>
                <pt idx="0">
                  <v>m=10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PeakGainCurve!$N$27:$N$39</f>
              <numCache>
                <formatCode>General</formatCode>
                <ptCount val="13"/>
                <pt idx="1">
                  <v>1.058</v>
                </pt>
                <pt idx="2">
                  <v>1.059</v>
                </pt>
                <pt idx="3">
                  <v>1.06</v>
                </pt>
                <pt idx="4">
                  <v>1.061</v>
                </pt>
                <pt idx="5">
                  <v>1.064</v>
                </pt>
                <pt idx="6">
                  <v>1.067</v>
                </pt>
                <pt idx="7">
                  <v>1.074</v>
                </pt>
                <pt idx="8">
                  <v>1.088</v>
                </pt>
                <pt idx="9">
                  <v>1.131</v>
                </pt>
                <pt idx="10">
                  <v>1.299</v>
                </pt>
                <pt idx="11">
                  <v>1.777</v>
                </pt>
                <pt idx="12">
                  <v>3.384</v>
                </pt>
              </numCache>
            </numRef>
          </yVal>
          <smooth val="1"/>
        </ser>
        <ser>
          <idx val="13"/>
          <order val="13"/>
          <tx>
            <strRef>
              <f>PeakGainCurve!$O$26</f>
              <strCache>
                <ptCount val="1"/>
                <pt idx="0">
                  <v>m=12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PeakGainCurve!$O$27:$O$39</f>
              <numCache>
                <formatCode>General</formatCode>
                <ptCount val="13"/>
                <pt idx="1">
                  <v>1.047</v>
                </pt>
                <pt idx="2">
                  <v>1.048</v>
                </pt>
                <pt idx="3">
                  <v>1.048</v>
                </pt>
                <pt idx="4">
                  <v>1.049</v>
                </pt>
                <pt idx="5">
                  <v>1.051</v>
                </pt>
                <pt idx="6">
                  <v>1.053</v>
                </pt>
                <pt idx="7">
                  <v>1.057</v>
                </pt>
                <pt idx="8">
                  <v>1.066</v>
                </pt>
                <pt idx="9">
                  <v>1.091</v>
                </pt>
                <pt idx="10">
                  <v>1.212</v>
                </pt>
                <pt idx="11">
                  <v>1.626</v>
                </pt>
                <pt idx="12">
                  <v>3.069</v>
                </pt>
              </numCache>
            </numRef>
          </yVal>
          <smooth val="1"/>
        </ser>
        <ser>
          <idx val="14"/>
          <order val="14"/>
          <tx>
            <strRef>
              <f>PeakGainCurve!$P$26</f>
              <strCache>
                <ptCount val="1"/>
                <pt idx="0">
                  <v>m=14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PeakGainCurve!$P$27:$P$39</f>
              <numCache>
                <formatCode>General</formatCode>
                <ptCount val="13"/>
                <pt idx="1">
                  <v>1.04</v>
                </pt>
                <pt idx="2">
                  <v>1.04</v>
                </pt>
                <pt idx="3">
                  <v>1.04</v>
                </pt>
                <pt idx="4">
                  <v>1.041</v>
                </pt>
                <pt idx="5">
                  <v>1.042</v>
                </pt>
                <pt idx="6">
                  <v>1.044</v>
                </pt>
                <pt idx="7">
                  <v>1.047</v>
                </pt>
                <pt idx="8">
                  <v>1.052</v>
                </pt>
                <pt idx="9">
                  <v>1.068</v>
                </pt>
                <pt idx="10">
                  <v>1.152</v>
                </pt>
                <pt idx="11">
                  <v>1.513</v>
                </pt>
                <pt idx="12">
                  <v>2.828</v>
                </pt>
              </numCache>
            </numRef>
          </yVal>
          <smooth val="1"/>
        </ser>
        <ser>
          <idx val="15"/>
          <order val="15"/>
          <tx>
            <strRef>
              <f>PeakGainCurve!$Q$26</f>
              <strCache>
                <ptCount val="1"/>
                <pt idx="0">
                  <v>m=16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PeakGainCurve!$Q$27:$Q$39</f>
              <numCache>
                <formatCode>General</formatCode>
                <ptCount val="13"/>
                <pt idx="1">
                  <v>1.034</v>
                </pt>
                <pt idx="2">
                  <v>1.035</v>
                </pt>
                <pt idx="3">
                  <v>1.035</v>
                </pt>
                <pt idx="4">
                  <v>1.035</v>
                </pt>
                <pt idx="5">
                  <v>1.036</v>
                </pt>
                <pt idx="6">
                  <v>1.037</v>
                </pt>
                <pt idx="7">
                  <v>1.039</v>
                </pt>
                <pt idx="8">
                  <v>1.043</v>
                </pt>
                <pt idx="9">
                  <v>1.054</v>
                </pt>
                <pt idx="10">
                  <v>1.11</v>
                </pt>
                <pt idx="11">
                  <v>1.426</v>
                </pt>
                <pt idx="12">
                  <v>2.511</v>
                </pt>
              </numCache>
            </numRef>
          </yVal>
          <smooth val="1"/>
        </ser>
        <ser>
          <idx val="16"/>
          <order val="16"/>
          <tx>
            <v>Req. Gain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solidFill>
                  <a:srgbClr val="FF0000"/>
                </a:solidFill>
                <a:prstDash val="sysDot"/>
              </a:ln>
            </spPr>
          </marker>
          <xVal>
            <numRef>
              <f>PeakGainCurve!$A$28:$A$39</f>
              <numCache>
                <formatCode>General</formatCode>
                <ptCount val="12"/>
                <pt idx="0">
                  <v>1.2</v>
                </pt>
                <pt idx="1">
                  <v>1.1</v>
                </pt>
                <pt idx="2">
                  <v>1</v>
                </pt>
                <pt idx="3">
                  <v>0.9</v>
                </pt>
                <pt idx="4">
                  <v>0.8</v>
                </pt>
                <pt idx="5">
                  <v>0.7</v>
                </pt>
                <pt idx="6">
                  <v>0.6</v>
                </pt>
                <pt idx="7">
                  <v>0.5</v>
                </pt>
                <pt idx="8">
                  <v>0.4</v>
                </pt>
                <pt idx="9">
                  <v>0.3</v>
                </pt>
                <pt idx="10">
                  <v>0.2</v>
                </pt>
                <pt idx="11">
                  <v>0.1</v>
                </pt>
              </numCache>
            </numRef>
          </xVal>
          <yVal>
            <numRef>
              <f>PeakGainCurve!$R$28:$R$39</f>
              <numCache>
                <formatCode>General</formatCode>
                <ptCount val="12"/>
                <pt idx="0">
                  <v>1.49292</v>
                </pt>
                <pt idx="1">
                  <v>1.49292</v>
                </pt>
                <pt idx="2">
                  <v>1.49292</v>
                </pt>
                <pt idx="3">
                  <v>1.49292</v>
                </pt>
                <pt idx="4">
                  <v>1.49292</v>
                </pt>
                <pt idx="5">
                  <v>1.49292</v>
                </pt>
                <pt idx="6">
                  <v>1.49292</v>
                </pt>
                <pt idx="7">
                  <v>1.49292</v>
                </pt>
                <pt idx="8">
                  <v>1.49292</v>
                </pt>
                <pt idx="9">
                  <v>1.49292</v>
                </pt>
                <pt idx="10">
                  <v>1.49292</v>
                </pt>
                <pt idx="11">
                  <v>1.49292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8925952"/>
        <axId val="158927488"/>
      </scatterChart>
      <valAx>
        <axId val="158925952"/>
        <scaling>
          <orientation val="minMax"/>
          <max val="0.9500000000000006"/>
          <min val="0.15"/>
        </scaling>
        <delete val="0"/>
        <axPos val="b"/>
        <majorGridlines>
          <spPr>
            <a:ln xmlns:a="http://schemas.openxmlformats.org/drawingml/2006/main">
              <a:prstDash val="sysDash"/>
            </a:ln>
          </spPr>
        </majorGridlines>
        <minorGridlines>
          <spPr>
            <a:ln xmlns:a="http://schemas.openxmlformats.org/drawingml/2006/main">
              <a:prstDash val="sys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Q</a:t>
                </a:r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58927488"/>
        <crosses val="autoZero"/>
        <crossBetween val="midCat"/>
        <majorUnit val="0.1"/>
        <minorUnit val="0.02"/>
      </valAx>
      <valAx>
        <axId val="158927488"/>
        <scaling>
          <orientation val="minMax"/>
          <max val="1.5"/>
          <min val="1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Peak Gain</a:t>
                </a:r>
              </a:p>
            </rich>
          </tx>
          <layout/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58925952"/>
        <crosses val="autoZero"/>
        <crossBetween val="midCat"/>
      </valAx>
    </plotArea>
    <legend>
      <legendPos val="r"/>
      <legendEntry>
        <idx val="0"/>
        <delete val="1"/>
      </legendEntry>
      <legendEntry>
        <idx val="1"/>
        <delete val="1"/>
      </legendEntry>
      <layout>
        <manualLayout>
          <xMode val="edge"/>
          <yMode val="edge"/>
          <wMode val="factor"/>
          <hMode val="factor"/>
          <x val="0.7415929788437462"/>
          <y val="0.02024553382440098"/>
          <w val="0.2346573627449111"/>
          <h val="0.9072644145288291"/>
        </manualLayout>
      </layout>
      <overlay val="0"/>
      <spPr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900"/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v>Plant</v>
          </tx>
          <spPr>
            <a:ln xmlns:a="http://schemas.openxmlformats.org/drawingml/2006/main" w="19050" cap="rnd">
              <a:solidFill>
                <a:sysClr val="windowText" lastClr="000000"/>
              </a:solidFill>
              <a:prstDash val="sys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1"/>
        </ser>
        <ser>
          <idx val="1"/>
          <order val="1"/>
          <tx>
            <v>compensator</v>
          </tx>
          <spPr>
            <a:ln xmlns:a="http://schemas.openxmlformats.org/drawingml/2006/main" w="19050" cap="rnd">
              <a:solidFill>
                <a:sysClr val="windowText" lastClr="0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1"/>
        </ser>
        <ser>
          <idx val="2"/>
          <order val="2"/>
          <tx>
            <v>Loop</v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355489848"/>
        <axId val="355490240"/>
      </scatterChart>
      <valAx>
        <axId val="355489848"/>
        <scaling>
          <logBase val="10"/>
          <orientation val="minMax"/>
          <min val="1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490240"/>
        <crosses val="autoZero"/>
        <crossBetween val="midCat"/>
      </valAx>
      <valAx>
        <axId val="3554902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(degree)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55489848"/>
        <crosses val="autoZero"/>
        <crossBetween val="midCat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63837020372455"/>
          <y val="0.02885645142310428"/>
          <w val="0.8282715792601396"/>
          <h val="0.9060320383928615"/>
        </manualLayout>
      </layout>
      <scatterChart>
        <scatterStyle val="smoothMarker"/>
        <varyColors val="0"/>
        <ser>
          <idx val="0"/>
          <order val="0"/>
          <tx>
            <strRef>
              <f>GainCurve!$C$7</f>
              <strCache>
                <ptCount val="1"/>
                <pt idx="0">
                  <v>100%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GainCurve!$C$8:$C$125</f>
              <numCache>
                <formatCode>0.00</formatCode>
                <ptCount val="118"/>
                <pt idx="0">
                  <v>1.200356819182613</v>
                </pt>
                <pt idx="1">
                  <v>1.269073922716511</v>
                </pt>
                <pt idx="2">
                  <v>1.340323035979281</v>
                </pt>
                <pt idx="3">
                  <v>1.413510099714058</v>
                </pt>
                <pt idx="4">
                  <v>1.487816673787434</v>
                </pt>
                <pt idx="5">
                  <v>1.56218027595442</v>
                </pt>
                <pt idx="6">
                  <v>1.635294826795266</v>
                </pt>
                <pt idx="7">
                  <v>1.705641034881759</v>
                </pt>
                <pt idx="8">
                  <v>1.771554519237018</v>
                </pt>
                <pt idx="9">
                  <v>1.831333560394243</v>
                </pt>
                <pt idx="10">
                  <v>1.883378698957438</v>
                </pt>
                <pt idx="11">
                  <v>1.926345187204485</v>
                </pt>
                <pt idx="12">
                  <v>1.959280825017072</v>
                </pt>
                <pt idx="13">
                  <v>1.981720599258302</v>
                </pt>
                <pt idx="14">
                  <v>1.993717938798538</v>
                </pt>
                <pt idx="15">
                  <v>1.995807968750014</v>
                </pt>
                <pt idx="16">
                  <v>1.988914849099664</v>
                </pt>
                <pt idx="17">
                  <v>1.974226678738204</v>
                </pt>
                <pt idx="18">
                  <v>1.953064206480792</v>
                </pt>
                <pt idx="19">
                  <v>1.926764662926193</v>
                </pt>
                <pt idx="20">
                  <v>1.896593128218929</v>
                </pt>
                <pt idx="21">
                  <v>1.863684944085283</v>
                </pt>
                <pt idx="22">
                  <v>1.829016239449816</v>
                </pt>
                <pt idx="23">
                  <v>1.793396324916612</v>
                </pt>
                <pt idx="24">
                  <v>1.757474958409016</v>
                </pt>
                <pt idx="25">
                  <v>1.721758291271065</v>
                </pt>
                <pt idx="26">
                  <v>1.686628766683849</v>
                </pt>
                <pt idx="27">
                  <v>1.652365761196233</v>
                </pt>
                <pt idx="28">
                  <v>1.619165035678392</v>
                </pt>
                <pt idx="29">
                  <v>1.587156002433517</v>
                </pt>
                <pt idx="30">
                  <v>1.556416441806033</v>
                </pt>
                <pt idx="31">
                  <v>1.526984680410544</v>
                </pt>
                <pt idx="32">
                  <v>1.498869446273414</v>
                </pt>
                <pt idx="33">
                  <v>1.472057705011005</v>
                </pt>
                <pt idx="34">
                  <v>1.446520801325889</v>
                </pt>
                <pt idx="35">
                  <v>1.422219212763771</v>
                </pt>
                <pt idx="36">
                  <v>1.399106187687454</v>
                </pt>
                <pt idx="37">
                  <v>1.377130498604231</v>
                </pt>
                <pt idx="38">
                  <v>1.35623850182952</v>
                </pt>
                <pt idx="39">
                  <v>1.336375658165234</v>
                </pt>
                <pt idx="40">
                  <v>1.317487638042252</v>
                </pt>
                <pt idx="41">
                  <v>1.29952110856801</v>
                </pt>
                <pt idx="42">
                  <v>1.282424278736181</v>
                </pt>
                <pt idx="43">
                  <v>1.266147262072465</v>
                </pt>
                <pt idx="44">
                  <v>1.250642302532666</v>
                </pt>
                <pt idx="45">
                  <v>1.235863898896951</v>
                </pt>
                <pt idx="46">
                  <v>1.221768854653371</v>
                </pt>
                <pt idx="47">
                  <v>1.208316273957433</v>
                </pt>
                <pt idx="48">
                  <v>1.195467519300506</v>
                </pt>
                <pt idx="49">
                  <v>1.183186142701645</v>
                </pt>
                <pt idx="50">
                  <v>1.171437799303074</v>
                </pt>
                <pt idx="51">
                  <v>1.160190150000183</v>
                </pt>
                <pt idx="52">
                  <v>1.14941275801716</v>
                </pt>
                <pt idx="53">
                  <v>1.139076983027856</v>
                </pt>
                <pt idx="54">
                  <v>1.129155875424281</v>
                </pt>
                <pt idx="55">
                  <v>1.119624072579522</v>
                </pt>
                <pt idx="56">
                  <v>1.110457698381551</v>
                </pt>
                <pt idx="57">
                  <v>1.101634266886209</v>
                </pt>
                <pt idx="58">
                  <v>1.093132590618108</v>
                </pt>
                <pt idx="59">
                  <v>1.084932693811745</v>
                </pt>
                <pt idx="60">
                  <v>1.077015730711941</v>
                </pt>
                <pt idx="61">
                  <v>1.069363908927696</v>
                </pt>
                <pt idx="62">
                  <v>1.061960417745001</v>
                </pt>
                <pt idx="63">
                  <v>1.054789361243182</v>
                </pt>
                <pt idx="64">
                  <v>1.047835696019047</v>
                </pt>
                <pt idx="65">
                  <v>1.041085173298266</v>
                </pt>
                <pt idx="66">
                  <v>1.034524285199994</v>
                </pt>
                <pt idx="67">
                  <v>1.02814021491571</v>
                </pt>
                <pt idx="68">
                  <v>1.021920790564207</v>
                </pt>
                <pt idx="69">
                  <v>1.0158544424899</v>
                </pt>
                <pt idx="70">
                  <v>1.009930163779762</v>
                </pt>
                <pt idx="71">
                  <v>1.004137473784255</v>
                </pt>
                <pt idx="72">
                  <v>0.9984663844387874</v>
                </pt>
                <pt idx="73">
                  <v>0.9929073691940363</v>
                </pt>
                <pt idx="74">
                  <v>0.987451334375427</v>
                </pt>
                <pt idx="75">
                  <v>0.9820895928038713</v>
                </pt>
                <pt idx="76">
                  <v>0.9768138395214139</v>
                </pt>
                <pt idx="77">
                  <v>0.9716161294764267</v>
                </pt>
                <pt idx="78">
                  <v>0.9664888570334818</v>
                </pt>
                <pt idx="79">
                  <v>0.9614247371828325</v>
                </pt>
                <pt idx="80">
                  <v>0.9564167883336219</v>
                </pt>
                <pt idx="81">
                  <v>0.9514583165834195</v>
                </pt>
                <pt idx="82">
                  <v>0.9465429013645232</v>
                </pt>
                <pt idx="83">
                  <v>0.9416643823746222</v>
                </pt>
                <pt idx="84">
                  <v>0.936816847705975</v>
                </pt>
                <pt idx="85">
                  <v>0.9319946230931817</v>
                </pt>
                <pt idx="86">
                  <v>0.927192262204994</v>
                </pt>
                <pt idx="87">
                  <v>0.9224045379104221</v>
                </pt>
                <pt idx="88">
                  <v>0.9176264344537177</v>
                </pt>
                <pt idx="89">
                  <v>0.9128531404766262</v>
                </pt>
                <pt idx="90">
                  <v>0.9080800428297213</v>
                </pt>
                <pt idx="91">
                  <v>0.9033027211175862</v>
                </pt>
                <pt idx="92">
                  <v>0.8985169429252481</v>
                </pt>
                <pt idx="93">
                  <v>0.8937186596755132</v>
                </pt>
                <pt idx="94">
                  <v>0.8889040030688237</v>
                </pt>
                <pt idx="95">
                  <v>0.884069282058933</v>
                </pt>
                <pt idx="96">
                  <v>0.8792109803191256</v>
                </pt>
                <pt idx="97">
                  <v>0.8743257541549347</v>
                </pt>
                <pt idx="98">
                  <v>0.8694104308203274</v>
                </pt>
                <pt idx="99">
                  <v>0.864462007195228</v>
                </pt>
                <pt idx="100">
                  <v>0.8594776487829808</v>
                </pt>
                <pt idx="101">
                  <v>0.854454688987019</v>
                </pt>
                <pt idx="102">
                  <v>0.8493906286265963</v>
                </pt>
                <pt idx="103">
                  <v>0.8442831356519801</v>
                </pt>
                <pt idx="104">
                  <v>0.8391300450200478</v>
                </pt>
                <pt idx="105">
                  <v>0.8339293586917694</v>
                </pt>
                <pt idx="106">
                  <v>0.8286792457136546</v>
                </pt>
                <pt idx="107">
                  <v>0.8233780423458908</v>
                </pt>
                <pt idx="108">
                  <v>0.8180242522006356</v>
                </pt>
                <pt idx="109">
                  <v>0.8126165463547671</v>
                </pt>
                <pt idx="110">
                  <v>0.8071537634023707</v>
                </pt>
                <pt idx="111">
                  <v>0.8016349094133348</v>
                </pt>
                <pt idx="112">
                  <v>0.796059157765706</v>
                </pt>
                <pt idx="113">
                  <v>0.7904258488208715</v>
                </pt>
                <pt idx="114">
                  <v>0.784734489412248</v>
                </pt>
                <pt idx="115">
                  <v>0.7789847521199302</v>
                </pt>
                <pt idx="116">
                  <v>0.7731764743057247</v>
                </pt>
                <pt idx="117">
                  <v>0.7673096568851305</v>
                </pt>
              </numCache>
            </numRef>
          </yVal>
          <smooth val="1"/>
        </ser>
        <ser>
          <idx val="1"/>
          <order val="1"/>
          <tx>
            <strRef>
              <f>GainCurve!$D$7</f>
              <strCache>
                <ptCount val="1"/>
                <pt idx="0">
                  <v>80%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GainCurve!$D$8:$D$125</f>
              <numCache>
                <formatCode>0.00</formatCode>
                <ptCount val="118"/>
                <pt idx="0">
                  <v>1.377133457182082</v>
                </pt>
                <pt idx="1">
                  <v>1.471428989313529</v>
                </pt>
                <pt idx="2">
                  <v>1.571280770522953</v>
                </pt>
                <pt idx="3">
                  <v>1.675939050951181</v>
                </pt>
                <pt idx="4">
                  <v>1.784127306148694</v>
                </pt>
                <pt idx="5">
                  <v>1.893921351102692</v>
                </pt>
                <pt idx="6">
                  <v>2.002670765247843</v>
                </pt>
                <pt idx="7">
                  <v>2.107014399694058</v>
                </pt>
                <pt idx="8">
                  <v>2.20304654943704</v>
                </pt>
                <pt idx="9">
                  <v>2.2866690181499</v>
                </pt>
                <pt idx="10">
                  <v>2.354107238303522</v>
                </pt>
                <pt idx="11">
                  <v>2.402488245669918</v>
                </pt>
                <pt idx="12">
                  <v>2.430316545644658</v>
                </pt>
                <pt idx="13">
                  <v>2.437690739920366</v>
                </pt>
                <pt idx="14">
                  <v>2.426192707839673</v>
                </pt>
                <pt idx="15">
                  <v>2.398505778732819</v>
                </pt>
                <pt idx="16">
                  <v>2.357905342625389</v>
                </pt>
                <pt idx="17">
                  <v>2.307774166814212</v>
                </pt>
                <pt idx="18">
                  <v>2.251241557756559</v>
                </pt>
                <pt idx="19">
                  <v>2.190975972934673</v>
                </pt>
                <pt idx="20">
                  <v>2.129110279932591</v>
                </pt>
                <pt idx="21">
                  <v>2.067257678358825</v>
                </pt>
                <pt idx="22">
                  <v>2.00657686972598</v>
                </pt>
                <pt idx="23">
                  <v>1.947855598551849</v>
                </pt>
                <pt idx="24">
                  <v>1.891593664120995</v>
                </pt>
                <pt idx="25">
                  <v>1.838075974350272</v>
                </pt>
                <pt idx="26">
                  <v>1.787432356575039</v>
                </pt>
                <pt idx="27">
                  <v>1.739684232717649</v>
                </pt>
                <pt idx="28">
                  <v>1.694779815084581</v>
                </pt>
                <pt idx="29">
                  <v>1.652619957655705</v>
                </pt>
                <pt idx="30">
                  <v>1.613076734925684</v>
                </pt>
                <pt idx="31">
                  <v>1.576006531559784</v>
                </pt>
                <pt idx="32">
                  <v>1.541259079445841</v>
                </pt>
                <pt idx="33">
                  <v>1.508683553005778</v>
                </pt>
                <pt idx="34">
                  <v>1.478132558703197</v>
                </pt>
                <pt idx="35">
                  <v>1.44946463595908</v>
                </pt>
                <pt idx="36">
                  <v>1.422545718911834</v>
                </pt>
                <pt idx="37">
                  <v>1.397249882811427</v>
                </pt>
                <pt idx="38">
                  <v>1.373459606273514</v>
                </pt>
                <pt idx="39">
                  <v>1.351065713215758</v>
                </pt>
                <pt idx="40">
                  <v>1.329967109633041</v>
                </pt>
                <pt idx="41">
                  <v>1.310070395461528</v>
                </pt>
                <pt idx="42">
                  <v>1.291289406878472</v>
                </pt>
                <pt idx="43">
                  <v>1.27354472670477</v>
                </pt>
                <pt idx="44">
                  <v>1.256763188086404</v>
                </pt>
                <pt idx="45">
                  <v>1.240877387853608</v>
                </pt>
                <pt idx="46">
                  <v>1.225825219828655</v>
                </pt>
                <pt idx="47">
                  <v>1.211549434109931</v>
                </pt>
                <pt idx="48">
                  <v>1.197997225453718</v>
                </pt>
                <pt idx="49">
                  <v>1.185119851914138</v>
                </pt>
                <pt idx="50">
                  <v>1.17287228360651</v>
                </pt>
                <pt idx="51">
                  <v>1.16121288063045</v>
                </pt>
                <pt idx="52">
                  <v>1.150103098684777</v>
                </pt>
                <pt idx="53">
                  <v>1.139507220625637</v>
                </pt>
                <pt idx="54">
                  <v>1.129392112090933</v>
                </pt>
                <pt idx="55">
                  <v>1.119726999287635</v>
                </pt>
                <pt idx="56">
                  <v>1.110483267078276</v>
                </pt>
                <pt idx="57">
                  <v>1.101634275584181</v>
                </pt>
                <pt idx="58">
                  <v>1.093155193628356</v>
                </pt>
                <pt idx="59">
                  <v>1.085022847458846</v>
                </pt>
                <pt idx="60">
                  <v>1.077215583315562</v>
                </pt>
                <pt idx="61">
                  <v>1.069713142524981</v>
                </pt>
                <pt idx="62">
                  <v>1.062496547924258</v>
                </pt>
                <pt idx="63">
                  <v>1.055548000527156</v>
                </pt>
                <pt idx="64">
                  <v>1.048850785447676</v>
                </pt>
                <pt idx="65">
                  <v>1.042389186192858</v>
                </pt>
                <pt idx="66">
                  <v>1.036148406523819</v>
                </pt>
                <pt idx="67">
                  <v>1.030114499163965</v>
                </pt>
                <pt idx="68">
                  <v>1.024274300705712</v>
                </pt>
                <pt idx="69">
                  <v>1.018615372132583</v>
                </pt>
                <pt idx="70">
                  <v>1.01312594443255</v>
                </pt>
                <pt idx="71">
                  <v>1.007794868831694</v>
                </pt>
                <pt idx="72">
                  <v>1.002611571224976</v>
                </pt>
                <pt idx="73">
                  <v>0.9975660104238077</v>
                </pt>
                <pt idx="74">
                  <v>0.9926486398785538</v>
                </pt>
                <pt idx="75">
                  <v>0.987850372568598</v>
                </pt>
                <pt idx="76">
                  <v>0.9831625487834854</v>
                </pt>
                <pt idx="77">
                  <v>0.9785769065463589</v>
                </pt>
                <pt idx="78">
                  <v>0.9740855544557224</v>
                </pt>
                <pt idx="79">
                  <v>0.969680946743793</v>
                </pt>
                <pt idx="80">
                  <v>0.9653558603696432</v>
                </pt>
                <pt idx="81">
                  <v>0.9611033739831916</v>
                </pt>
                <pt idx="82">
                  <v>0.9569168486121167</v>
                </pt>
                <pt idx="83">
                  <v>0.9527899099381147</v>
                </pt>
                <pt idx="84">
                  <v>0.948716432041798</v>
                </pt>
                <pt idx="85">
                  <v>0.9446905225070592</v>
                </pt>
                <pt idx="86">
                  <v>0.9407065087860565</v>
                </pt>
                <pt idx="87">
                  <v>0.936758925735233</v>
                </pt>
                <pt idx="88">
                  <v>0.9328425042410703</v>
                </pt>
                <pt idx="89">
                  <v>0.9289521608616621</v>
                </pt>
                <pt idx="90">
                  <v>0.925082988416843</v>
                </pt>
                <pt idx="91">
                  <v>0.9212302474654555</v>
                </pt>
                <pt idx="92">
                  <v>0.9173893586136204</v>
                </pt>
                <pt idx="93">
                  <v>0.9135558956025053</v>
                </pt>
                <pt idx="94">
                  <v>0.9097255791281981</v>
                </pt>
                <pt idx="95">
                  <v>0.905894271349917</v>
                </pt>
                <pt idx="96">
                  <v>0.9020579710459484</v>
                </pt>
                <pt idx="97">
                  <v>0.8982128093794689</v>
                </pt>
                <pt idx="98">
                  <v>0.8943550462387667</v>
                </pt>
                <pt idx="99">
                  <v>0.8904810671184373</v>
                </pt>
                <pt idx="100">
                  <v>0.8865873805098157</v>
                </pt>
                <pt idx="101">
                  <v>0.882670615770346</v>
                </pt>
                <pt idx="102">
                  <v>0.8787275214427429</v>
                </pt>
                <pt idx="103">
                  <v>0.8747549639957151</v>
                </pt>
                <pt idx="104">
                  <v>0.8707499269587177</v>
                </pt>
                <pt idx="105">
                  <v>0.8667095104236979</v>
                </pt>
                <pt idx="106">
                  <v>0.8626309308871162</v>
                </pt>
                <pt idx="107">
                  <v>0.8585115214056996</v>
                </pt>
                <pt idx="108">
                  <v>0.8543487320393982</v>
                </pt>
                <pt idx="109">
                  <v>0.8501401305549424</v>
                </pt>
                <pt idx="110">
                  <v>0.8458834033632131</v>
                </pt>
                <pt idx="111">
                  <v>0.841576356663375</v>
                </pt>
                <pt idx="112">
                  <v>0.8372169177664266</v>
                </pt>
                <pt idx="113">
                  <v>0.8328031365704713</v>
                </pt>
                <pt idx="114">
                  <v>0.8283331871596625</v>
                </pt>
                <pt idx="115">
                  <v>0.8238053694984349</v>
                </pt>
                <pt idx="116">
                  <v>0.819218111192318</v>
                </pt>
                <pt idx="117">
                  <v>0.8145699692863745</v>
                </pt>
              </numCache>
            </numRef>
          </yVal>
          <smooth val="1"/>
        </ser>
        <ser>
          <idx val="2"/>
          <order val="2"/>
          <tx>
            <strRef>
              <f>GainCurve!$E$7</f>
              <strCache>
                <ptCount val="1"/>
                <pt idx="0">
                  <v>60%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GainCurve!$E$8:$E$125</f>
              <numCache>
                <formatCode>0.00</formatCode>
                <ptCount val="118"/>
                <pt idx="0">
                  <v>1.585906462687155</v>
                </pt>
                <pt idx="1">
                  <v>1.719599358964015</v>
                </pt>
                <pt idx="2">
                  <v>1.866265610106041</v>
                </pt>
                <pt idx="3">
                  <v>2.025845555570737</v>
                </pt>
                <pt idx="4">
                  <v>2.19719293411638</v>
                </pt>
                <pt idx="5">
                  <v>2.377469268065348</v>
                </pt>
                <pt idx="6">
                  <v>2.56146327722382</v>
                </pt>
                <pt idx="7">
                  <v>2.741068043195959</v>
                </pt>
                <pt idx="8">
                  <v>2.905350793840222</v>
                </pt>
                <pt idx="9">
                  <v>3.041733399140786</v>
                </pt>
                <pt idx="10">
                  <v>3.138475182894117</v>
                </pt>
                <pt idx="11">
                  <v>3.187804108317799</v>
                </pt>
                <pt idx="12">
                  <v>3.188220399951764</v>
                </pt>
                <pt idx="13">
                  <v>3.14466301784682</v>
                </pt>
                <pt idx="14">
                  <v>3.066530692339745</v>
                </pt>
                <pt idx="15">
                  <v>2.964808057662703</v>
                </pt>
                <pt idx="16">
                  <v>2.849679473593371</v>
                </pt>
                <pt idx="17">
                  <v>2.729257322761684</v>
                </pt>
                <pt idx="18">
                  <v>2.609300912516753</v>
                </pt>
                <pt idx="19">
                  <v>2.493505453079838</v>
                </pt>
                <pt idx="20">
                  <v>2.383991774971058</v>
                </pt>
                <pt idx="21">
                  <v>2.281785007556839</v>
                </pt>
                <pt idx="22">
                  <v>2.18719901704159</v>
                </pt>
                <pt idx="23">
                  <v>2.100114452908403</v>
                </pt>
                <pt idx="24">
                  <v>2.020166993920343</v>
                </pt>
                <pt idx="25">
                  <v>1.946868869174082</v>
                </pt>
                <pt idx="26">
                  <v>1.879684198340869</v>
                </pt>
                <pt idx="27">
                  <v>1.818073774335828</v>
                </pt>
                <pt idx="28">
                  <v>1.761520261556138</v>
                </pt>
                <pt idx="29">
                  <v>1.709541167608481</v>
                </pt>
                <pt idx="30">
                  <v>1.661694377765601</v>
                </pt>
                <pt idx="31">
                  <v>1.617579304512642</v>
                </pt>
                <pt idx="32">
                  <v>1.576835564665822</v>
                </pt>
                <pt idx="33">
                  <v>1.539140362775491</v>
                </pt>
                <pt idx="34">
                  <v>1.504205293558861</v>
                </pt>
                <pt idx="35">
                  <v>1.471772983412802</v>
                </pt>
                <pt idx="36">
                  <v>1.441613809106133</v>
                </pt>
                <pt idx="37">
                  <v>1.413522819982114</v>
                </pt>
                <pt idx="38">
                  <v>1.387316922413449</v>
                </pt>
                <pt idx="39">
                  <v>1.362832345298943</v>
                </pt>
                <pt idx="40">
                  <v>1.33992238259755</v>
                </pt>
                <pt idx="41">
                  <v>1.318455396653641</v>
                </pt>
                <pt idx="42">
                  <v>1.298313060223869</v>
                </pt>
                <pt idx="43">
                  <v>1.279388813071427</v>
                </pt>
                <pt idx="44">
                  <v>1.261586509130915</v>
                </pt>
                <pt idx="45">
                  <v>1.244819231568846</v>
                </pt>
                <pt idx="46">
                  <v>1.229008254964127</v>
                </pt>
                <pt idx="47">
                  <v>1.21408213594723</v>
                </pt>
                <pt idx="48">
                  <v>1.199975915756908</v>
                </pt>
                <pt idx="49">
                  <v>1.186630420184373</v>
                </pt>
                <pt idx="50">
                  <v>1.173991644219972</v>
                </pt>
                <pt idx="51">
                  <v>1.162010210374208</v>
                </pt>
                <pt idx="52">
                  <v>1.150640891111576</v>
                </pt>
                <pt idx="53">
                  <v>1.13984218712096</v>
                </pt>
                <pt idx="54">
                  <v>1.129575954265218</v>
                </pt>
                <pt idx="55">
                  <v>1.11980707302182</v>
                </pt>
                <pt idx="56">
                  <v>1.110503155063509</v>
                </pt>
                <pt idx="57">
                  <v>1.101634282349271</v>
                </pt>
                <pt idx="58">
                  <v>1.093172774716828</v>
                </pt>
                <pt idx="59">
                  <v>1.085092982502</v>
                </pt>
                <pt idx="60">
                  <v>1.077371101169668</v>
                </pt>
                <pt idx="61">
                  <v>1.069985005336428</v>
                </pt>
                <pt idx="62">
                  <v>1.062914099905291</v>
                </pt>
                <pt idx="63">
                  <v>1.056139186326051</v>
                </pt>
                <pt idx="64">
                  <v>1.049642342247865</v>
                </pt>
                <pt idx="65">
                  <v>1.043406813048955</v>
                </pt>
                <pt idx="66">
                  <v>1.03741691391723</v>
                </pt>
                <pt idx="67">
                  <v>1.031657941319034</v>
                </pt>
                <pt idx="68">
                  <v>1.026116092835054</v>
                </pt>
                <pt idx="69">
                  <v>1.020778394465424</v>
                </pt>
                <pt idx="70">
                  <v>1.015632634613142</v>
                </pt>
                <pt idx="71">
                  <v>1.010667304048113</v>
                </pt>
                <pt idx="72">
                  <v>1.005871541235434</v>
                </pt>
                <pt idx="73">
                  <v>1.001235082482602</v>
                </pt>
                <pt idx="74">
                  <v>0.9967482164224682</v>
                </pt>
                <pt idx="75">
                  <v>0.9924017424032677</v>
                </pt>
                <pt idx="76">
                  <v>0.9881869324048574</v>
                </pt>
                <pt idx="77">
                  <v>0.9840954961423615</v>
                </pt>
                <pt idx="78">
                  <v>0.9801195490554461</v>
                </pt>
                <pt idx="79">
                  <v>0.9762515829140934</v>
                </pt>
                <pt idx="80">
                  <v>0.9724844388005992</v>
                </pt>
                <pt idx="81">
                  <v>0.9688112822530245</v>
                </pt>
                <pt idx="82">
                  <v>0.965225580377949</v>
                </pt>
                <pt idx="83">
                  <v>0.9617210807604188</v>
                </pt>
                <pt idx="84">
                  <v>0.9582917920168131</v>
                </pt>
                <pt idx="85">
                  <v>0.9549319658522107</v>
                </pt>
                <pt idx="86">
                  <v>0.9516360804979646</v>
                </pt>
                <pt idx="87">
                  <v>0.9483988254178037</v>
                </pt>
                <pt idx="88">
                  <v>0.9452150871820485</v>
                </pt>
                <pt idx="89">
                  <v>0.9420799364195861</v>
                </pt>
                <pt idx="90">
                  <v>0.9389886157663032</v>
                </pt>
                <pt idx="91">
                  <v>0.9359365287367255</v>
                </pt>
                <pt idx="92">
                  <v>0.9329192294528993</v>
                </pt>
                <pt idx="93">
                  <v>0.929932413171054</v>
                </pt>
                <pt idx="94">
                  <v>0.9269719075524387</v>
                </pt>
                <pt idx="95">
                  <v>0.9240336646299951</v>
                </pt>
                <pt idx="96">
                  <v>0.9211137534272534</v>
                </pt>
                <pt idx="97">
                  <v>0.9182083531901067</v>
                </pt>
                <pt idx="98">
                  <v>0.9153137471959101</v>
                </pt>
                <pt idx="99">
                  <v>0.9124263171078268</v>
                </pt>
                <pt idx="100">
                  <v>0.9095425378453764</v>
                </pt>
                <pt idx="101">
                  <v>0.9066589729449186</v>
                </pt>
                <pt idx="102">
                  <v>0.9037722703862491</v>
                </pt>
                <pt idx="103">
                  <v>0.9008791588636716</v>
                </pt>
                <pt idx="104">
                  <v>0.8979764444818364</v>
                </pt>
                <pt idx="105">
                  <v>0.895061007858332</v>
                </pt>
                <pt idx="106">
                  <v>0.8921298016164954</v>
                </pt>
                <pt idx="107">
                  <v>0.8891798482531869</v>
                </pt>
                <pt idx="108">
                  <v>0.8862082383673437</v>
                </pt>
                <pt idx="109">
                  <v>0.8832121292360484</v>
                </pt>
                <pt idx="110">
                  <v>0.8801887437255695</v>
                </pt>
                <pt idx="111">
                  <v>0.8771353695254064</v>
                </pt>
                <pt idx="112">
                  <v>0.8740493586937873</v>
                </pt>
                <pt idx="113">
                  <v>0.8709281275033499</v>
                </pt>
                <pt idx="114">
                  <v>0.8677691565758548</v>
                </pt>
                <pt idx="115">
                  <v>0.8645699912947994</v>
                </pt>
                <pt idx="116">
                  <v>0.8613282424846641</v>
                </pt>
                <pt idx="117">
                  <v>0.8580415873453006</v>
                </pt>
              </numCache>
            </numRef>
          </yVal>
          <smooth val="1"/>
        </ser>
        <ser>
          <idx val="3"/>
          <order val="3"/>
          <tx>
            <strRef>
              <f>GainCurve!$F$7</f>
              <strCache>
                <ptCount val="1"/>
                <pt idx="0">
                  <v>40%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GainCurve!$F$8:$F$125</f>
              <numCache>
                <formatCode>0.00</formatCode>
                <ptCount val="118"/>
                <pt idx="0">
                  <v>1.810823891836314</v>
                </pt>
                <pt idx="1">
                  <v>2.000698500388076</v>
                </pt>
                <pt idx="2">
                  <v>2.220121698340419</v>
                </pt>
                <pt idx="3">
                  <v>2.473849939698839</v>
                </pt>
                <pt idx="4">
                  <v>2.766083182924431</v>
                </pt>
                <pt idx="5">
                  <v>3.098612428221972</v>
                </pt>
                <pt idx="6">
                  <v>3.467188706399331</v>
                </pt>
                <pt idx="7">
                  <v>3.855598886504532</v>
                </pt>
                <pt idx="8">
                  <v>4.228905159980775</v>
                </pt>
                <pt idx="9">
                  <v>4.532332124062965</v>
                </pt>
                <pt idx="10">
                  <v>4.706280222556924</v>
                </pt>
                <pt idx="11">
                  <v>4.717037659800064</v>
                </pt>
                <pt idx="12">
                  <v>4.577885650065795</v>
                </pt>
                <pt idx="13">
                  <v>4.337523446859872</v>
                </pt>
                <pt idx="14">
                  <v>4.050344625581901</v>
                </pt>
                <pt idx="15">
                  <v>3.756575161532198</v>
                </pt>
                <pt idx="16">
                  <v>3.478892209777312</v>
                </pt>
                <pt idx="17">
                  <v>3.227088490720324</v>
                </pt>
                <pt idx="18">
                  <v>3.003530967805913</v>
                </pt>
                <pt idx="19">
                  <v>2.806968482206058</v>
                </pt>
                <pt idx="20">
                  <v>2.634694861119521</v>
                </pt>
                <pt idx="21">
                  <v>2.483637458909579</v>
                </pt>
                <pt idx="22">
                  <v>2.35084941918924</v>
                </pt>
                <pt idx="23">
                  <v>2.233699391814122</v>
                </pt>
                <pt idx="24">
                  <v>2.129917916600378</v>
                </pt>
                <pt idx="25">
                  <v>2.037581260460597</v>
                </pt>
                <pt idx="26">
                  <v>1.955071846610192</v>
                </pt>
                <pt idx="27">
                  <v>1.881033339248268</v>
                </pt>
                <pt idx="28">
                  <v>1.814328114762493</v>
                </pt>
                <pt idx="29">
                  <v>1.75399993560505</v>
                </pt>
                <pt idx="30">
                  <v>1.699242401951754</v>
                </pt>
                <pt idx="31">
                  <v>1.649372810238274</v>
                </pt>
                <pt idx="32">
                  <v>1.60381071341313</v>
                </pt>
                <pt idx="33">
                  <v>1.562060420531108</v>
                </pt>
                <pt idx="34">
                  <v>1.523696731526113</v>
                </pt>
                <pt idx="35">
                  <v>1.488353300501202</v>
                </pt>
                <pt idx="36">
                  <v>1.455713123360502</v>
                </pt>
                <pt idx="37">
                  <v>1.425500739001305</v>
                </pt>
                <pt idx="38">
                  <v>1.397475813016209</v>
                </pt>
                <pt idx="39">
                  <v>1.371427838614327</v>
                </pt>
                <pt idx="40">
                  <v>1.347171742665903</v>
                </pt>
                <pt idx="41">
                  <v>1.324544227338098</v>
                </pt>
                <pt idx="42">
                  <v>1.303400711646978</v>
                </pt>
                <pt idx="43">
                  <v>1.283612764111285</v>
                </pt>
                <pt idx="44">
                  <v>1.265065938991713</v>
                </pt>
                <pt idx="45">
                  <v>1.247657945501778</v>
                </pt>
                <pt idx="46">
                  <v>1.231297092815025</v>
                </pt>
                <pt idx="47">
                  <v>1.215900964404731</v>
                </pt>
                <pt idx="48">
                  <v>1.201395283815162</v>
                </pt>
                <pt idx="49">
                  <v>1.187712940831072</v>
                </pt>
                <pt idx="50">
                  <v>1.174793152539127</v>
                </pt>
                <pt idx="51">
                  <v>1.162580738238854</v>
                </pt>
                <pt idx="52">
                  <v>1.151025490779134</v>
                </pt>
                <pt idx="53">
                  <v>1.140081629840035</v>
                </pt>
                <pt idx="54">
                  <v>1.129707325083356</v>
                </pt>
                <pt idx="55">
                  <v>1.119864279064931</v>
                </pt>
                <pt idx="56">
                  <v>1.110517361421473</v>
                </pt>
                <pt idx="57">
                  <v>1.101634287181478</v>
                </pt>
                <pt idx="58">
                  <v>1.093185333156524</v>
                </pt>
                <pt idx="59">
                  <v>1.085143087289006</v>
                </pt>
                <pt idx="60">
                  <v>1.077482226598884</v>
                </pt>
                <pt idx="61">
                  <v>1.070179320013048</v>
                </pt>
                <pt idx="62">
                  <v>1.063212652898661</v>
                </pt>
                <pt idx="63">
                  <v>1.056562070574183</v>
                </pt>
                <pt idx="64">
                  <v>1.050208838453611</v>
                </pt>
                <pt idx="65">
                  <v>1.044135516802502</v>
                </pt>
                <pt idx="66">
                  <v>1.038325848358528</v>
                </pt>
                <pt idx="67">
                  <v>1.032764657302633</v>
                </pt>
                <pt idx="68">
                  <v>1.027437758265865</v>
                </pt>
                <pt idx="69">
                  <v>1.022331874227245</v>
                </pt>
                <pt idx="70">
                  <v>1.017434562304021</v>
                </pt>
                <pt idx="71">
                  <v>1.012734146561135</v>
                </pt>
                <pt idx="72">
                  <v>1.008219657074876</v>
                </pt>
                <pt idx="73">
                  <v>1.003880774579047</v>
                </pt>
                <pt idx="74">
                  <v>0.9997077801028196</v>
                </pt>
                <pt idx="75">
                  <v>0.995691509079514</v>
                </pt>
                <pt idx="76">
                  <v>0.991823309466521</v>
                </pt>
                <pt idx="77">
                  <v>0.9880950034696308</v>
                </pt>
                <pt idx="78">
                  <v>0.9844988525113795</v>
                </pt>
                <pt idx="79">
                  <v>0.9810275251235212</v>
                </pt>
                <pt idx="80">
                  <v>0.9776740674792541</v>
                </pt>
                <pt idx="81">
                  <v>0.9744318763119757</v>
                </pt>
                <pt idx="82">
                  <v>0.9712946739947644</v>
                </pt>
                <pt idx="83">
                  <v>0.9682564855789194</v>
                </pt>
                <pt idx="84">
                  <v>0.9653116176112184</v>
                </pt>
                <pt idx="85">
                  <v>0.9624546385683956</v>
                </pt>
                <pt idx="86">
                  <v>0.9596803607640277</v>
                </pt>
                <pt idx="87">
                  <v>0.9569838235978337</v>
                </pt>
                <pt idx="88">
                  <v>0.9543602780305523</v>
                </pt>
                <pt idx="89">
                  <v>0.9518051721792676</v>
                </pt>
                <pt idx="90">
                  <v>0.9493141379385166</v>
                </pt>
                <pt idx="91">
                  <v>0.9468829785418191</v>
                </pt>
                <pt idx="92">
                  <v>0.9445076569866274</v>
                </pt>
                <pt idx="93">
                  <v>0.9421842852531682</v>
                </pt>
                <pt idx="94">
                  <v>0.9399091142543495</v>
                </pt>
                <pt idx="95">
                  <v>0.9376785244599426</v>
                </pt>
                <pt idx="96">
                  <v>0.9354890171436717</v>
                </pt>
                <pt idx="97">
                  <v>0.9333372062067472</v>
                </pt>
                <pt idx="98">
                  <v>0.9312198105357771</v>
                </pt>
                <pt idx="99">
                  <v>0.9291336468570212</v>
                </pt>
                <pt idx="100">
                  <v>0.9270756230525485</v>
                </pt>
                <pt idx="101">
                  <v>0.9250427319071558</v>
                </pt>
                <pt idx="102">
                  <v>0.9230320452578953</v>
                </pt>
                <pt idx="103">
                  <v>0.9210407085207748</v>
                </pt>
                <pt idx="104">
                  <v>0.9190659355716747</v>
                </pt>
                <pt idx="105">
                  <v>0.9171050039607875</v>
                </pt>
                <pt idx="106">
                  <v>0.9151552504419574</v>
                </pt>
                <pt idx="107">
                  <v>0.9132140668001902</v>
                </pt>
                <pt idx="108">
                  <v>0.911278895962335</v>
                </pt>
                <pt idx="109">
                  <v>0.909347228377538</v>
                </pt>
                <pt idx="110">
                  <v>0.9074165986555202</v>
                </pt>
                <pt idx="111">
                  <v>0.9054845824520792</v>
                </pt>
                <pt idx="112">
                  <v>0.9035487935924396</v>
                </pt>
                <pt idx="113">
                  <v>0.9016068814242127</v>
                </pt>
                <pt idx="114">
                  <v>0.8996565283927561</v>
                </pt>
                <pt idx="115">
                  <v>0.8976954478326736</v>
                </pt>
                <pt idx="116">
                  <v>0.895721381970065</v>
                </pt>
                <pt idx="117">
                  <v>0.8937321001309204</v>
                </pt>
              </numCache>
            </numRef>
          </yVal>
          <smooth val="1"/>
        </ser>
        <ser>
          <idx val="4"/>
          <order val="4"/>
          <tx>
            <strRef>
              <f>GainCurve!$G$7</f>
              <strCache>
                <ptCount val="1"/>
                <pt idx="0">
                  <v>20%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GainCurve!$G$8:$G$125</f>
              <numCache>
                <formatCode>0.00</formatCode>
                <ptCount val="118"/>
                <pt idx="0">
                  <v>2.002476191707286</v>
                </pt>
                <pt idx="1">
                  <v>2.254094486671486</v>
                </pt>
                <pt idx="2">
                  <v>2.56203584146053</v>
                </pt>
                <pt idx="3">
                  <v>2.945719507409048</v>
                </pt>
                <pt idx="4">
                  <v>3.433342379073972</v>
                </pt>
                <pt idx="5">
                  <v>4.065845848384217</v>
                </pt>
                <pt idx="6">
                  <v>4.900086406923569</v>
                </pt>
                <pt idx="7">
                  <v>6.000409808510377</v>
                </pt>
                <pt idx="8">
                  <v>7.374872370676571</v>
                </pt>
                <pt idx="9">
                  <v>8.757378419860705</v>
                </pt>
                <pt idx="10">
                  <v>9.397133954455276</v>
                </pt>
                <pt idx="11">
                  <v>8.816226273281842</v>
                </pt>
                <pt idx="12">
                  <v>7.59865587164628</v>
                </pt>
                <pt idx="13">
                  <v>6.405980078442381</v>
                </pt>
                <pt idx="14">
                  <v>5.445390109188815</v>
                </pt>
                <pt idx="15">
                  <v>4.707713788518072</v>
                </pt>
                <pt idx="16">
                  <v>4.140990790316105</v>
                </pt>
                <pt idx="17">
                  <v>3.698925594677556</v>
                </pt>
                <pt idx="18">
                  <v>3.34760480529626</v>
                </pt>
                <pt idx="19">
                  <v>3.063266812782148</v>
                </pt>
                <pt idx="20">
                  <v>2.8292924743465</v>
                </pt>
                <pt idx="21">
                  <v>2.633909090723856</v>
                </pt>
                <pt idx="22">
                  <v>2.468629717816087</v>
                </pt>
                <pt idx="23">
                  <v>2.327221885943601</v>
                </pt>
                <pt idx="24">
                  <v>2.205025842745961</v>
                </pt>
                <pt idx="25">
                  <v>2.098498656302034</v>
                </pt>
                <pt idx="26">
                  <v>2.00490452179061</v>
                </pt>
                <pt idx="27">
                  <v>1.922100770303599</v>
                </pt>
                <pt idx="28">
                  <v>1.848387468832319</v>
                </pt>
                <pt idx="29">
                  <v>1.7823999692649</v>
                </pt>
                <pt idx="30">
                  <v>1.723030944847282</v>
                </pt>
                <pt idx="31">
                  <v>1.669372997066367</v>
                </pt>
                <pt idx="32">
                  <v>1.620675832083254</v>
                </pt>
                <pt idx="33">
                  <v>1.57631390541119</v>
                </pt>
                <pt idx="34">
                  <v>1.535761689892072</v>
                </pt>
                <pt idx="35">
                  <v>1.498574565507952</v>
                </pt>
                <pt idx="36">
                  <v>1.464373904097154</v>
                </pt>
                <pt idx="37">
                  <v>1.43283531882481</v>
                </pt>
                <pt idx="38">
                  <v>1.403679325895262</v>
                </pt>
                <pt idx="39">
                  <v>1.376663862688954</v>
                </pt>
                <pt idx="40">
                  <v>1.351578247499303</v>
                </pt>
                <pt idx="41">
                  <v>1.328238268233323</v>
                </pt>
                <pt idx="42">
                  <v>1.306482162279894</v>
                </pt>
                <pt idx="43">
                  <v>1.286167305102584</v>
                </pt>
                <pt idx="44">
                  <v>1.267167466436158</v>
                </pt>
                <pt idx="45">
                  <v>1.249370524085727</v>
                </pt>
                <pt idx="46">
                  <v>1.232676548959315</v>
                </pt>
                <pt idx="47">
                  <v>1.216996193051727</v>
                </pt>
                <pt idx="48">
                  <v>1.202249326044332</v>
                </pt>
                <pt idx="49">
                  <v>1.188363877015771</v>
                </pt>
                <pt idx="50">
                  <v>1.175274846225598</v>
                </pt>
                <pt idx="51">
                  <v>1.162923458594366</v>
                </pt>
                <pt idx="52">
                  <v>1.151256435776731</v>
                </pt>
                <pt idx="53">
                  <v>1.140225367922199</v>
                </pt>
                <pt idx="54">
                  <v>1.129786169578775</v>
                </pt>
                <pt idx="55">
                  <v>1.119898606899349</v>
                </pt>
                <pt idx="56">
                  <v>1.110525885497958</v>
                </pt>
                <pt idx="57">
                  <v>1.101634290080802</v>
                </pt>
                <pt idx="58">
                  <v>1.093192868428096</v>
                </pt>
                <pt idx="59">
                  <v>1.085173153493024</v>
                </pt>
                <pt idx="60">
                  <v>1.077548918364008</v>
                </pt>
                <pt idx="61">
                  <v>1.070295959646804</v>
                </pt>
                <pt idx="62">
                  <v>1.063391905495497</v>
                </pt>
                <pt idx="63">
                  <v>1.056816045081742</v>
                </pt>
                <pt idx="64">
                  <v>1.050549176760122</v>
                </pt>
                <pt idx="65">
                  <v>1.044573472580506</v>
                </pt>
                <pt idx="66">
                  <v>1.038872357129171</v>
                </pt>
                <pt idx="67">
                  <v>1.033430398959868</v>
                </pt>
                <pt idx="68">
                  <v>1.028233213112657</v>
                </pt>
                <pt idx="69">
                  <v>1.023267373419465</v>
                </pt>
                <pt idx="70">
                  <v>1.018520333466613</v>
                </pt>
                <pt idx="71">
                  <v>1.013980355230958</v>
                </pt>
                <pt idx="72">
                  <v>1.009636444531736</v>
                </pt>
                <pt idx="73">
                  <v>1.005478292547844</v>
                </pt>
                <pt idx="74">
                  <v>1.001496222743117</v>
                </pt>
                <pt idx="75">
                  <v>0.9976811426221771</v>
                </pt>
                <pt idx="76">
                  <v>0.9940244998087008</v>
                </pt>
                <pt idx="77">
                  <v>0.9905182419980365</v>
                </pt>
                <pt idx="78">
                  <v>0.9871547803882815</v>
                </pt>
                <pt idx="79">
                  <v>0.983926956239402</v>
                </pt>
                <pt idx="80">
                  <v>0.9808280102496558</v>
                </pt>
                <pt idx="81">
                  <v>0.9778515544732759</v>
                </pt>
                <pt idx="82">
                  <v>0.9749915465337713</v>
                </pt>
                <pt idx="83">
                  <v>0.9722422659138927</v>
                </pt>
                <pt idx="84">
                  <v>0.9695982921267842</v>
                </pt>
                <pt idx="85">
                  <v>0.9670544845935234</v>
                </pt>
                <pt idx="86">
                  <v>0.9646059640705033</v>
                </pt>
                <pt idx="87">
                  <v>0.96224809548625</v>
                </pt>
                <pt idx="88">
                  <v>0.9599764720615639</v>
                </pt>
                <pt idx="89">
                  <v>0.9577869005995351</v>
                </pt>
                <pt idx="90">
                  <v>0.9556753878432749</v>
                </pt>
                <pt idx="91">
                  <v>0.9536381278091882</v>
                </pt>
                <pt idx="92">
                  <v>0.9516714900125731</v>
                </pt>
                <pt idx="93">
                  <v>0.9497720085102856</v>
                </pt>
                <pt idx="94">
                  <v>0.9479363716923327</v>
                </pt>
                <pt idx="95">
                  <v>0.9461614127606355</v>
                </pt>
                <pt idx="96">
                  <v>0.9444441008389052</v>
                </pt>
                <pt idx="97">
                  <v>0.9427815326627216</v>
                </pt>
                <pt idx="98">
                  <v>0.9411709248034732</v>
                </pt>
                <pt idx="99">
                  <v>0.9396096063840118</v>
                </pt>
                <pt idx="100">
                  <v>0.9380950122475646</v>
                </pt>
                <pt idx="101">
                  <v>0.9366246765448403</v>
                </pt>
                <pt idx="102">
                  <v>0.9351962267073018</v>
                </pt>
                <pt idx="103">
                  <v>0.9338073777773293</v>
                </pt>
                <pt idx="104">
                  <v>0.932455927068492</v>
                </pt>
                <pt idx="105">
                  <v>0.931139749131408</v>
                </pt>
                <pt idx="106">
                  <v>0.9298567910027132</v>
                </pt>
                <pt idx="107">
                  <v>0.9286050677165476</v>
                </pt>
                <pt idx="108">
                  <v>0.9273826580596366</v>
                </pt>
                <pt idx="109">
                  <v>0.9261877005526193</v>
                </pt>
                <pt idx="110">
                  <v>0.9250183896416719</v>
                </pt>
                <pt idx="111">
                  <v>0.9238729720857718</v>
                </pt>
                <pt idx="112">
                  <v>0.9227497435261305</v>
                </pt>
                <pt idx="113">
                  <v>0.9216470452254086</v>
                </pt>
                <pt idx="114">
                  <v>0.9205632609653177</v>
                </pt>
                <pt idx="115">
                  <v>0.9194968140921351</v>
                </pt>
                <pt idx="116">
                  <v>0.9184461647004964</v>
                </pt>
                <pt idx="117">
                  <v>0.9174098069466158</v>
                </pt>
              </numCache>
            </numRef>
          </yVal>
          <smooth val="1"/>
        </ser>
        <ser>
          <idx val="5"/>
          <order val="5"/>
          <tx>
            <v>Min.Gain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GainCurve!$H$8:$H$125</f>
              <numCache>
                <formatCode>General</formatCode>
                <ptCount val="118"/>
                <pt idx="0">
                  <v>1.131</v>
                </pt>
                <pt idx="1">
                  <v>1.131</v>
                </pt>
                <pt idx="2">
                  <v>1.131</v>
                </pt>
                <pt idx="3">
                  <v>1.131</v>
                </pt>
                <pt idx="4">
                  <v>1.131</v>
                </pt>
                <pt idx="5">
                  <v>1.131</v>
                </pt>
                <pt idx="6">
                  <v>1.131</v>
                </pt>
                <pt idx="7">
                  <v>1.131</v>
                </pt>
                <pt idx="8">
                  <v>1.131</v>
                </pt>
                <pt idx="9">
                  <v>1.131</v>
                </pt>
                <pt idx="10">
                  <v>1.131</v>
                </pt>
                <pt idx="11">
                  <v>1.131</v>
                </pt>
                <pt idx="12">
                  <v>1.131</v>
                </pt>
                <pt idx="13">
                  <v>1.131</v>
                </pt>
                <pt idx="14">
                  <v>1.131</v>
                </pt>
                <pt idx="15">
                  <v>1.131</v>
                </pt>
                <pt idx="16">
                  <v>1.131</v>
                </pt>
                <pt idx="17">
                  <v>1.131</v>
                </pt>
                <pt idx="18">
                  <v>1.131</v>
                </pt>
                <pt idx="19">
                  <v>1.131</v>
                </pt>
                <pt idx="20">
                  <v>1.131</v>
                </pt>
                <pt idx="21">
                  <v>1.131</v>
                </pt>
                <pt idx="22">
                  <v>1.131</v>
                </pt>
                <pt idx="23">
                  <v>1.131</v>
                </pt>
                <pt idx="24">
                  <v>1.131</v>
                </pt>
                <pt idx="25">
                  <v>1.131</v>
                </pt>
                <pt idx="26">
                  <v>1.131</v>
                </pt>
                <pt idx="27">
                  <v>1.131</v>
                </pt>
                <pt idx="28">
                  <v>1.131</v>
                </pt>
                <pt idx="29">
                  <v>1.131</v>
                </pt>
                <pt idx="30">
                  <v>1.131</v>
                </pt>
                <pt idx="31">
                  <v>1.131</v>
                </pt>
                <pt idx="32">
                  <v>1.131</v>
                </pt>
                <pt idx="33">
                  <v>1.131</v>
                </pt>
                <pt idx="34">
                  <v>1.131</v>
                </pt>
                <pt idx="35">
                  <v>1.131</v>
                </pt>
                <pt idx="36">
                  <v>1.131</v>
                </pt>
                <pt idx="37">
                  <v>1.131</v>
                </pt>
                <pt idx="38">
                  <v>1.131</v>
                </pt>
                <pt idx="39">
                  <v>1.131</v>
                </pt>
                <pt idx="40">
                  <v>1.131</v>
                </pt>
                <pt idx="41">
                  <v>1.131</v>
                </pt>
                <pt idx="42">
                  <v>1.131</v>
                </pt>
                <pt idx="43">
                  <v>1.131</v>
                </pt>
                <pt idx="44">
                  <v>1.131</v>
                </pt>
                <pt idx="45">
                  <v>1.131</v>
                </pt>
                <pt idx="46">
                  <v>1.131</v>
                </pt>
                <pt idx="47">
                  <v>1.131</v>
                </pt>
                <pt idx="48">
                  <v>1.131</v>
                </pt>
                <pt idx="49">
                  <v>1.131</v>
                </pt>
                <pt idx="50">
                  <v>1.131</v>
                </pt>
                <pt idx="51">
                  <v>1.131</v>
                </pt>
                <pt idx="52">
                  <v>1.131</v>
                </pt>
                <pt idx="53">
                  <v>1.131</v>
                </pt>
                <pt idx="54">
                  <v>1.131</v>
                </pt>
                <pt idx="55">
                  <v>1.131</v>
                </pt>
                <pt idx="56">
                  <v>1.131</v>
                </pt>
                <pt idx="57">
                  <v>1.131</v>
                </pt>
                <pt idx="58">
                  <v>1.131</v>
                </pt>
                <pt idx="59">
                  <v>1.131</v>
                </pt>
                <pt idx="60">
                  <v>1.131</v>
                </pt>
                <pt idx="61">
                  <v>1.131</v>
                </pt>
                <pt idx="62">
                  <v>1.131</v>
                </pt>
                <pt idx="63">
                  <v>1.131</v>
                </pt>
                <pt idx="64">
                  <v>1.131</v>
                </pt>
                <pt idx="65">
                  <v>1.131</v>
                </pt>
                <pt idx="66">
                  <v>1.131</v>
                </pt>
                <pt idx="67">
                  <v>1.131</v>
                </pt>
                <pt idx="68">
                  <v>1.131</v>
                </pt>
                <pt idx="69">
                  <v>1.131</v>
                </pt>
                <pt idx="70">
                  <v>1.131</v>
                </pt>
                <pt idx="71">
                  <v>1.131</v>
                </pt>
                <pt idx="72">
                  <v>1.131</v>
                </pt>
                <pt idx="73">
                  <v>1.131</v>
                </pt>
                <pt idx="74">
                  <v>1.131</v>
                </pt>
                <pt idx="75">
                  <v>1.131</v>
                </pt>
                <pt idx="76">
                  <v>1.131</v>
                </pt>
                <pt idx="77">
                  <v>1.131</v>
                </pt>
                <pt idx="78">
                  <v>1.131</v>
                </pt>
                <pt idx="79">
                  <v>1.131</v>
                </pt>
                <pt idx="80">
                  <v>1.131</v>
                </pt>
                <pt idx="81">
                  <v>1.131</v>
                </pt>
                <pt idx="82">
                  <v>1.131</v>
                </pt>
                <pt idx="83">
                  <v>1.131</v>
                </pt>
                <pt idx="84">
                  <v>1.131</v>
                </pt>
                <pt idx="85">
                  <v>1.131</v>
                </pt>
                <pt idx="86">
                  <v>1.131</v>
                </pt>
                <pt idx="87">
                  <v>1.131</v>
                </pt>
                <pt idx="88">
                  <v>1.131</v>
                </pt>
                <pt idx="89">
                  <v>1.131</v>
                </pt>
                <pt idx="90">
                  <v>1.131</v>
                </pt>
                <pt idx="91">
                  <v>1.131</v>
                </pt>
                <pt idx="92">
                  <v>1.131</v>
                </pt>
                <pt idx="93">
                  <v>1.131</v>
                </pt>
                <pt idx="94">
                  <v>1.131</v>
                </pt>
                <pt idx="95">
                  <v>1.131</v>
                </pt>
                <pt idx="96">
                  <v>1.131</v>
                </pt>
                <pt idx="97">
                  <v>1.131</v>
                </pt>
                <pt idx="98">
                  <v>1.131</v>
                </pt>
                <pt idx="99">
                  <v>1.131</v>
                </pt>
                <pt idx="100">
                  <v>1.131</v>
                </pt>
                <pt idx="101">
                  <v>1.131</v>
                </pt>
                <pt idx="102">
                  <v>1.131</v>
                </pt>
                <pt idx="103">
                  <v>1.131</v>
                </pt>
                <pt idx="104">
                  <v>1.131</v>
                </pt>
                <pt idx="105">
                  <v>1.131</v>
                </pt>
                <pt idx="106">
                  <v>1.131</v>
                </pt>
                <pt idx="107">
                  <v>1.131</v>
                </pt>
                <pt idx="108">
                  <v>1.131</v>
                </pt>
                <pt idx="109">
                  <v>1.131</v>
                </pt>
                <pt idx="110">
                  <v>1.131</v>
                </pt>
                <pt idx="111">
                  <v>1.131</v>
                </pt>
                <pt idx="112">
                  <v>1.131</v>
                </pt>
                <pt idx="113">
                  <v>1.131</v>
                </pt>
                <pt idx="114">
                  <v>1.131</v>
                </pt>
                <pt idx="115">
                  <v>1.131</v>
                </pt>
                <pt idx="116">
                  <v>1.131</v>
                </pt>
                <pt idx="117">
                  <v>1.131</v>
                </pt>
              </numCache>
            </numRef>
          </yVal>
          <smooth val="1"/>
        </ser>
        <ser>
          <idx val="6"/>
          <order val="6"/>
          <tx>
            <v>Max.gain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GainCurve!$A$8:$A$125</f>
              <numCache>
                <formatCode>#,##0.00</formatCode>
                <ptCount val="118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  <pt idx="103">
                  <v>222.6145573192092</v>
                </pt>
                <pt idx="104">
                  <v>226.753270940826</v>
                </pt>
                <pt idx="105">
                  <v>230.9689289934272</v>
                </pt>
                <pt idx="106">
                  <v>235.2629619807878</v>
                </pt>
                <pt idx="107">
                  <v>239.6368270017335</v>
                </pt>
                <pt idx="108">
                  <v>244.09200824458</v>
                </pt>
                <pt idx="109">
                  <v>248.6300174907637</v>
                </pt>
                <pt idx="110">
                  <v>253.2523946278364</v>
                </pt>
                <pt idx="111">
                  <v>257.9607081719968</v>
                </pt>
                <pt idx="112">
                  <v>262.7565558003372</v>
                </pt>
                <pt idx="113">
                  <v>267.6415648929845</v>
                </pt>
                <pt idx="114">
                  <v>272.6173930853211</v>
                </pt>
                <pt idx="115">
                  <v>277.685728830472</v>
                </pt>
                <pt idx="116">
                  <v>282.8482919722496</v>
                </pt>
                <pt idx="117">
                  <v>288.1068343287498</v>
                </pt>
              </numCache>
            </numRef>
          </xVal>
          <yVal>
            <numRef>
              <f>GainCurve!$I$8:$I$125</f>
              <numCache>
                <formatCode>General</formatCode>
                <ptCount val="118"/>
                <pt idx="0">
                  <v>1.49292</v>
                </pt>
                <pt idx="1">
                  <v>1.49292</v>
                </pt>
                <pt idx="2">
                  <v>1.49292</v>
                </pt>
                <pt idx="3">
                  <v>1.49292</v>
                </pt>
                <pt idx="4">
                  <v>1.49292</v>
                </pt>
                <pt idx="5">
                  <v>1.49292</v>
                </pt>
                <pt idx="6">
                  <v>1.49292</v>
                </pt>
                <pt idx="7">
                  <v>1.49292</v>
                </pt>
                <pt idx="8">
                  <v>1.49292</v>
                </pt>
                <pt idx="9">
                  <v>1.49292</v>
                </pt>
                <pt idx="10">
                  <v>1.49292</v>
                </pt>
                <pt idx="11">
                  <v>1.49292</v>
                </pt>
                <pt idx="12">
                  <v>1.49292</v>
                </pt>
                <pt idx="13">
                  <v>1.49292</v>
                </pt>
                <pt idx="14">
                  <v>1.49292</v>
                </pt>
                <pt idx="15">
                  <v>1.49292</v>
                </pt>
                <pt idx="16">
                  <v>1.49292</v>
                </pt>
                <pt idx="17">
                  <v>1.49292</v>
                </pt>
                <pt idx="18">
                  <v>1.49292</v>
                </pt>
                <pt idx="19">
                  <v>1.49292</v>
                </pt>
                <pt idx="20">
                  <v>1.49292</v>
                </pt>
                <pt idx="21">
                  <v>1.49292</v>
                </pt>
                <pt idx="22">
                  <v>1.49292</v>
                </pt>
                <pt idx="23">
                  <v>1.49292</v>
                </pt>
                <pt idx="24">
                  <v>1.49292</v>
                </pt>
                <pt idx="25">
                  <v>1.49292</v>
                </pt>
                <pt idx="26">
                  <v>1.49292</v>
                </pt>
                <pt idx="27">
                  <v>1.49292</v>
                </pt>
                <pt idx="28">
                  <v>1.49292</v>
                </pt>
                <pt idx="29">
                  <v>1.49292</v>
                </pt>
                <pt idx="30">
                  <v>1.49292</v>
                </pt>
                <pt idx="31">
                  <v>1.49292</v>
                </pt>
                <pt idx="32">
                  <v>1.49292</v>
                </pt>
                <pt idx="33">
                  <v>1.49292</v>
                </pt>
                <pt idx="34">
                  <v>1.49292</v>
                </pt>
                <pt idx="35">
                  <v>1.49292</v>
                </pt>
                <pt idx="36">
                  <v>1.49292</v>
                </pt>
                <pt idx="37">
                  <v>1.49292</v>
                </pt>
                <pt idx="38">
                  <v>1.49292</v>
                </pt>
                <pt idx="39">
                  <v>1.49292</v>
                </pt>
                <pt idx="40">
                  <v>1.49292</v>
                </pt>
                <pt idx="41">
                  <v>1.49292</v>
                </pt>
                <pt idx="42">
                  <v>1.49292</v>
                </pt>
                <pt idx="43">
                  <v>1.49292</v>
                </pt>
                <pt idx="44">
                  <v>1.49292</v>
                </pt>
                <pt idx="45">
                  <v>1.49292</v>
                </pt>
                <pt idx="46">
                  <v>1.49292</v>
                </pt>
                <pt idx="47">
                  <v>1.49292</v>
                </pt>
                <pt idx="48">
                  <v>1.49292</v>
                </pt>
                <pt idx="49">
                  <v>1.49292</v>
                </pt>
                <pt idx="50">
                  <v>1.49292</v>
                </pt>
                <pt idx="51">
                  <v>1.49292</v>
                </pt>
                <pt idx="52">
                  <v>1.49292</v>
                </pt>
                <pt idx="53">
                  <v>1.49292</v>
                </pt>
                <pt idx="54">
                  <v>1.49292</v>
                </pt>
                <pt idx="55">
                  <v>1.49292</v>
                </pt>
                <pt idx="56">
                  <v>1.49292</v>
                </pt>
                <pt idx="57">
                  <v>1.49292</v>
                </pt>
                <pt idx="58">
                  <v>1.49292</v>
                </pt>
                <pt idx="59">
                  <v>1.49292</v>
                </pt>
                <pt idx="60">
                  <v>1.49292</v>
                </pt>
                <pt idx="61">
                  <v>1.49292</v>
                </pt>
                <pt idx="62">
                  <v>1.49292</v>
                </pt>
                <pt idx="63">
                  <v>1.49292</v>
                </pt>
                <pt idx="64">
                  <v>1.49292</v>
                </pt>
                <pt idx="65">
                  <v>1.49292</v>
                </pt>
                <pt idx="66">
                  <v>1.49292</v>
                </pt>
                <pt idx="67">
                  <v>1.49292</v>
                </pt>
                <pt idx="68">
                  <v>1.49292</v>
                </pt>
                <pt idx="69">
                  <v>1.49292</v>
                </pt>
                <pt idx="70">
                  <v>1.49292</v>
                </pt>
                <pt idx="71">
                  <v>1.49292</v>
                </pt>
                <pt idx="72">
                  <v>1.49292</v>
                </pt>
                <pt idx="73">
                  <v>1.49292</v>
                </pt>
                <pt idx="74">
                  <v>1.49292</v>
                </pt>
                <pt idx="75">
                  <v>1.49292</v>
                </pt>
                <pt idx="76">
                  <v>1.49292</v>
                </pt>
                <pt idx="77">
                  <v>1.49292</v>
                </pt>
                <pt idx="78">
                  <v>1.49292</v>
                </pt>
                <pt idx="79">
                  <v>1.49292</v>
                </pt>
                <pt idx="80">
                  <v>1.49292</v>
                </pt>
                <pt idx="81">
                  <v>1.49292</v>
                </pt>
                <pt idx="82">
                  <v>1.49292</v>
                </pt>
                <pt idx="83">
                  <v>1.49292</v>
                </pt>
                <pt idx="84">
                  <v>1.49292</v>
                </pt>
                <pt idx="85">
                  <v>1.49292</v>
                </pt>
                <pt idx="86">
                  <v>1.49292</v>
                </pt>
                <pt idx="87">
                  <v>1.49292</v>
                </pt>
                <pt idx="88">
                  <v>1.49292</v>
                </pt>
                <pt idx="89">
                  <v>1.49292</v>
                </pt>
                <pt idx="90">
                  <v>1.49292</v>
                </pt>
                <pt idx="91">
                  <v>1.49292</v>
                </pt>
                <pt idx="92">
                  <v>1.49292</v>
                </pt>
                <pt idx="93">
                  <v>1.49292</v>
                </pt>
                <pt idx="94">
                  <v>1.49292</v>
                </pt>
                <pt idx="95">
                  <v>1.49292</v>
                </pt>
                <pt idx="96">
                  <v>1.49292</v>
                </pt>
                <pt idx="97">
                  <v>1.49292</v>
                </pt>
                <pt idx="98">
                  <v>1.49292</v>
                </pt>
                <pt idx="99">
                  <v>1.49292</v>
                </pt>
                <pt idx="100">
                  <v>1.49292</v>
                </pt>
                <pt idx="101">
                  <v>1.49292</v>
                </pt>
                <pt idx="102">
                  <v>1.49292</v>
                </pt>
                <pt idx="103">
                  <v>1.49292</v>
                </pt>
                <pt idx="104">
                  <v>1.49292</v>
                </pt>
                <pt idx="105">
                  <v>1.49292</v>
                </pt>
                <pt idx="106">
                  <v>1.49292</v>
                </pt>
                <pt idx="107">
                  <v>1.49292</v>
                </pt>
                <pt idx="108">
                  <v>1.49292</v>
                </pt>
                <pt idx="109">
                  <v>1.49292</v>
                </pt>
                <pt idx="110">
                  <v>1.49292</v>
                </pt>
                <pt idx="111">
                  <v>1.49292</v>
                </pt>
                <pt idx="112">
                  <v>1.49292</v>
                </pt>
                <pt idx="113">
                  <v>1.49292</v>
                </pt>
                <pt idx="114">
                  <v>1.49292</v>
                </pt>
                <pt idx="115">
                  <v>1.49292</v>
                </pt>
                <pt idx="116">
                  <v>1.49292</v>
                </pt>
                <pt idx="117">
                  <v>1.49292</v>
                </pt>
              </numCache>
            </numRef>
          </yVal>
          <smooth val="1"/>
        </ser>
        <ser>
          <idx val="7"/>
          <order val="7"/>
          <tx>
            <v>Min. Freq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solidFill>
                  <a:srgbClr val="FF0000"/>
                </a:solidFill>
                <a:prstDash val="sysDot"/>
              </a:ln>
            </spPr>
          </dPt>
          <xVal>
            <numRef>
              <f>GainCurve!$L$8:$L$9</f>
              <numCache>
                <formatCode>General</formatCode>
                <ptCount val="2"/>
                <pt idx="0">
                  <v>44.01022212670203</v>
                </pt>
                <pt idx="1">
                  <v>44.01022212670203</v>
                </pt>
              </numCache>
            </numRef>
          </xVal>
          <yVal>
            <numRef>
              <f>GainCurve!$M$8:$M$9</f>
              <numCache>
                <formatCode>General</formatCode>
                <ptCount val="2"/>
                <pt idx="0">
                  <v>0</v>
                </pt>
                <pt idx="1">
                  <v>1.49292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67931264"/>
        <axId val="167937152"/>
      </scatterChart>
      <valAx>
        <axId val="167931264"/>
        <scaling>
          <orientation val="minMax"/>
          <max val="150"/>
          <min val="40"/>
        </scaling>
        <delete val="0"/>
        <axPos val="b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ash"/>
            </a:ln>
          </spPr>
        </majorGridlines>
        <minorGridlines/>
        <numFmt formatCode="#,##0_ 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67937152"/>
        <crosses val="autoZero"/>
        <crossBetween val="midCat"/>
        <majorUnit val="10"/>
        <minorUnit val="5"/>
      </valAx>
      <valAx>
        <axId val="167937152"/>
        <scaling>
          <orientation val="minMax"/>
          <max val="1.8"/>
          <min val="0.8"/>
        </scaling>
        <delete val="0"/>
        <axPos val="l"/>
        <majorGridlines>
          <spPr>
            <a:ln xmlns:a="http://schemas.openxmlformats.org/drawingml/2006/main">
              <a:prstDash val="sysDash"/>
            </a:ln>
          </spPr>
        </majorGridlines>
        <numFmt formatCode="0.0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67931264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6670832570347311"/>
          <y val="0.03093995499273931"/>
          <w val="0.3034107676838902"/>
          <h val="0.3759930008748906"/>
        </manualLayout>
      </layout>
      <overlay val="0"/>
      <spPr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ysClr val="windowText" lastClr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rPr lang="en-US" sz="1600"/>
              <a:t>Peak Gain of LLC Resonant</a:t>
            </a:r>
            <a:r>
              <a:rPr lang="en-US" sz="1600" baseline="0"/>
              <a:t xml:space="preserve"> Converter </a:t>
            </a:r>
            <a:endParaRPr lang="en-US" sz="1600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78949878393463"/>
          <y val="0.06232721020545311"/>
          <w val="0.8331691364512687"/>
          <h val="0.8534108840410485"/>
        </manualLayout>
      </layout>
      <scatterChart>
        <scatterStyle val="smoothMarker"/>
        <varyColors val="0"/>
        <ser>
          <idx val="2"/>
          <order val="0"/>
          <spPr>
            <a:ln xmlns:a="http://schemas.openxmlformats.org/drawingml/2006/main"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3"/>
          <order val="1"/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4"/>
          <order val="2"/>
          <spPr>
            <a:ln xmlns:a="http://schemas.openxmlformats.org/drawingml/2006/main">
              <a:solidFill>
                <a:srgbClr val="F79646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5"/>
          <order val="3"/>
          <spPr>
            <a:ln xmlns:a="http://schemas.openxmlformats.org/drawingml/2006/main">
              <a:solidFill>
                <a:schemeClr val="accent6">
                  <a:lumMod val="50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6"/>
          <order val="4"/>
          <spPr>
            <a:ln xmlns:a="http://schemas.openxmlformats.org/drawingml/2006/main">
              <a:solidFill>
                <a:srgbClr val="7030A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7"/>
          <order val="5"/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8"/>
          <order val="6"/>
          <spPr>
            <a:ln xmlns:a="http://schemas.openxmlformats.org/drawingml/2006/main">
              <a:solidFill>
                <a:srgbClr val="0070C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9"/>
          <order val="7"/>
          <spPr>
            <a:ln xmlns:a="http://schemas.openxmlformats.org/drawingml/2006/main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10"/>
          <order val="8"/>
          <spPr>
            <a:ln xmlns:a="http://schemas.openxmlformats.org/drawingml/2006/main">
              <a:solidFill>
                <a:srgbClr val="C0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11"/>
          <order val="9"/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12"/>
          <order val="10"/>
          <spPr>
            <a:ln xmlns:a="http://schemas.openxmlformats.org/drawingml/2006/main">
              <a:solidFill>
                <a:schemeClr val="tx1"/>
              </a:solidFill>
              <a:prstDash val="sysDash"/>
            </a:ln>
          </spPr>
          <marker>
            <symbol val="none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ser>
          <idx val="13"/>
          <order val="11"/>
          <spPr>
            <a:ln xmlns:a="http://schemas.openxmlformats.org/drawingml/2006/main">
              <a:solidFill>
                <a:srgbClr val="000000"/>
              </a:solidFill>
              <a:prstDash val="solid"/>
            </a:ln>
          </spPr>
          <marker>
            <symbol val="none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prstDash val="solid"/>
              </a:ln>
            </spPr>
          </marker>
          <x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xVal>
          <yVal>
            <numLit>
              <formatCode>General</formatCode>
              <ptCount val="13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  <pt idx="9">
                <v>0</v>
              </pt>
              <pt idx="10">
                <v>0</v>
              </pt>
              <pt idx="11">
                <v>0</v>
              </pt>
              <pt idx="12">
                <v>0</v>
              </pt>
            </numLit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9039872"/>
        <axId val="159042176"/>
      </scatterChart>
      <valAx>
        <axId val="159039872"/>
        <scaling>
          <orientation val="minMax"/>
          <max val="0.9500000000000006"/>
          <min val="0.1500000000000002"/>
        </scaling>
        <delete val="0"/>
        <axPos val="b"/>
        <majorGridlines>
          <spPr>
            <a:ln xmlns:a="http://schemas.openxmlformats.org/drawingml/2006/main">
              <a:prstDash val="sysDash"/>
            </a:ln>
          </spPr>
        </majorGridlines>
        <minorGridlines>
          <spPr>
            <a:ln xmlns:a="http://schemas.openxmlformats.org/drawingml/2006/main">
              <a:prstDash val="sysDash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lang="en-US"/>
                </a:pPr>
                <a:r>
                  <a:rPr lang="en-US"/>
                  <a:t>Q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59042176"/>
        <crosses val="autoZero"/>
        <crossBetween val="midCat"/>
        <minorUnit val="0.05"/>
      </valAx>
      <valAx>
        <axId val="159042176"/>
        <scaling>
          <orientation val="minMax"/>
          <max val="2.2"/>
          <min val="1.1"/>
        </scaling>
        <delete val="0"/>
        <axPos val="l"/>
        <majorGridlines>
          <spPr>
            <a:ln xmlns:a="http://schemas.openxmlformats.org/drawingml/2006/main">
              <a:prstDash val="sys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lang="en-US" sz="1100"/>
                </a:pPr>
                <a:r>
                  <a:rPr lang="en-US" sz="1400"/>
                  <a:t>Peak Gain (M)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lang="en-US" sz="1050"/>
            </a:pPr>
            <a:r>
              <a:t/>
            </a:r>
            <a:endParaRPr lang="en-US"/>
          </a:p>
        </txPr>
        <crossAx val="159039872"/>
        <crosses val="autoZero"/>
        <crossBetween val="midCat"/>
        <majorUnit val="0.1"/>
      </valAx>
    </plotArea>
    <legend>
      <legendPos val="r"/>
      <layout>
        <manualLayout>
          <xMode val="edge"/>
          <yMode val="edge"/>
          <wMode val="factor"/>
          <hMode val="factor"/>
          <x val="0.7222800448983728"/>
          <y val="0.06615242984162389"/>
          <w val="0.2054212784520504"/>
          <h val="0.4280893671259685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 sz="1400"/>
          </a:pPr>
          <a:r>
            <a:t/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763269746959923"/>
          <y val="0.02228462883422542"/>
          <w val="0.9154929577464789"/>
          <h val="0.9274324789274956"/>
        </manualLayout>
      </layout>
      <scatterChart>
        <scatterStyle val="smoothMarker"/>
        <varyColors val="0"/>
        <ser>
          <idx val="0"/>
          <order val="0"/>
          <tx>
            <strRef>
              <f>PeakGainCurve!$B$26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PeakGainCurve!$B$27:$B$39</f>
              <numCache>
                <formatCode>General</formatCode>
                <ptCount val="13"/>
              </numCache>
            </numRef>
          </yVal>
          <smooth val="1"/>
        </ser>
        <ser>
          <idx val="1"/>
          <order val="1"/>
          <tx>
            <strRef>
              <f>PeakGainCurve!$C$26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PeakGainCurve!$C$27:$C$39</f>
              <numCache>
                <formatCode>General</formatCode>
                <ptCount val="13"/>
              </numCache>
            </numRef>
          </yVal>
          <smooth val="1"/>
        </ser>
        <ser>
          <idx val="2"/>
          <order val="2"/>
          <tx>
            <strRef>
              <f>PeakGainCurve!$D$26</f>
              <strCache>
                <ptCount val="1"/>
                <pt idx="0">
                  <v>m=2.5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PeakGainCurve!$D$27:$D$39</f>
              <numCache>
                <formatCode>General</formatCode>
                <ptCount val="13"/>
                <pt idx="1">
                  <v>1.373</v>
                </pt>
                <pt idx="2">
                  <v>1.391</v>
                </pt>
                <pt idx="3">
                  <v>1.416</v>
                </pt>
                <pt idx="4">
                  <v>1.45</v>
                </pt>
                <pt idx="5">
                  <v>1.502</v>
                </pt>
                <pt idx="6">
                  <v>1.582</v>
                </pt>
                <pt idx="7">
                  <v>1.707</v>
                </pt>
                <pt idx="8">
                  <v>1.912</v>
                </pt>
                <pt idx="9">
                  <v>2.256</v>
                </pt>
                <pt idx="10">
                  <v>2.876</v>
                </pt>
                <pt idx="11">
                  <v>4.183</v>
                </pt>
                <pt idx="12">
                  <v>8.215</v>
                </pt>
              </numCache>
            </numRef>
          </yVal>
          <smooth val="1"/>
        </ser>
        <ser>
          <idx val="3"/>
          <order val="3"/>
          <tx>
            <strRef>
              <f>PeakGainCurve!$E$26</f>
              <strCache>
                <ptCount val="1"/>
                <pt idx="0">
                  <v>m=3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PeakGainCurve!$E$27:$E$39</f>
              <numCache>
                <formatCode>General</formatCode>
                <ptCount val="13"/>
                <pt idx="1">
                  <v>1.279</v>
                </pt>
                <pt idx="2">
                  <v>1.291</v>
                </pt>
                <pt idx="3">
                  <v>1.308</v>
                </pt>
                <pt idx="4">
                  <v>1.331</v>
                </pt>
                <pt idx="5">
                  <v>1.368</v>
                </pt>
                <pt idx="6">
                  <v>1.426</v>
                </pt>
                <pt idx="7">
                  <v>1.523</v>
                </pt>
                <pt idx="8">
                  <v>1.688</v>
                </pt>
                <pt idx="9">
                  <v>1.976</v>
                </pt>
                <pt idx="10">
                  <v>2.507</v>
                </pt>
                <pt idx="11">
                  <v>3.629</v>
                </pt>
                <pt idx="12">
                  <v>7.066</v>
                </pt>
              </numCache>
            </numRef>
          </yVal>
          <smooth val="1"/>
        </ser>
        <ser>
          <idx val="4"/>
          <order val="4"/>
          <tx>
            <strRef>
              <f>PeakGainCurve!$F$26</f>
              <strCache>
                <ptCount val="1"/>
                <pt idx="0">
                  <v>m=3.5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PeakGainCurve!$F$27:$F$39</f>
              <numCache>
                <formatCode>General</formatCode>
                <ptCount val="13"/>
                <pt idx="1">
                  <v>1.221</v>
                </pt>
                <pt idx="2">
                  <v>1.23</v>
                </pt>
                <pt idx="3">
                  <v>1.241</v>
                </pt>
                <pt idx="4">
                  <v>1.259</v>
                </pt>
                <pt idx="5">
                  <v>1.285</v>
                </pt>
                <pt idx="6">
                  <v>1.328</v>
                </pt>
                <pt idx="7">
                  <v>1.404</v>
                </pt>
                <pt idx="8">
                  <v>1.54</v>
                </pt>
                <pt idx="9">
                  <v>1.788</v>
                </pt>
                <pt idx="10">
                  <v>2.256</v>
                </pt>
                <pt idx="11">
                  <v>3.255</v>
                </pt>
                <pt idx="12">
                  <v>6.358</v>
                </pt>
              </numCache>
            </numRef>
          </yVal>
          <smooth val="1"/>
        </ser>
        <ser>
          <idx val="5"/>
          <order val="5"/>
          <tx>
            <strRef>
              <f>PeakGainCurve!$G$26</f>
              <strCache>
                <ptCount val="1"/>
                <pt idx="0">
                  <v>m=4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PeakGainCurve!$G$27:$G$39</f>
              <numCache>
                <formatCode>General</formatCode>
                <ptCount val="13"/>
                <pt idx="1">
                  <v>1.183</v>
                </pt>
                <pt idx="2">
                  <v>1.189</v>
                </pt>
                <pt idx="3">
                  <v>1.198</v>
                </pt>
                <pt idx="4">
                  <v>1.211</v>
                </pt>
                <pt idx="5">
                  <v>1.23</v>
                </pt>
                <pt idx="6">
                  <v>1.263</v>
                </pt>
                <pt idx="7">
                  <v>1.322</v>
                </pt>
                <pt idx="8">
                  <v>1.435</v>
                </pt>
                <pt idx="9">
                  <v>1.652</v>
                </pt>
                <pt idx="10">
                  <v>2.071</v>
                </pt>
                <pt idx="11">
                  <v>2.977</v>
                </pt>
                <pt idx="12">
                  <v>5.806</v>
                </pt>
              </numCache>
            </numRef>
          </yVal>
          <smooth val="1"/>
        </ser>
        <ser>
          <idx val="6"/>
          <order val="6"/>
          <tx>
            <strRef>
              <f>PeakGainCurve!$H$26</f>
              <strCache>
                <ptCount val="1"/>
                <pt idx="0">
                  <v>m=4.5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PeakGainCurve!$H$27:$H$39</f>
              <numCache>
                <formatCode>General</formatCode>
                <ptCount val="13"/>
                <pt idx="1">
                  <v>1.156</v>
                </pt>
                <pt idx="2">
                  <v>1.16</v>
                </pt>
                <pt idx="3">
                  <v>1.167</v>
                </pt>
                <pt idx="4">
                  <v>1.177</v>
                </pt>
                <pt idx="5">
                  <v>1.192</v>
                </pt>
                <pt idx="6">
                  <v>1.217</v>
                </pt>
                <pt idx="7">
                  <v>1.263</v>
                </pt>
                <pt idx="8">
                  <v>1.358</v>
                </pt>
                <pt idx="9">
                  <v>1.548</v>
                </pt>
                <pt idx="10">
                  <v>1.93</v>
                </pt>
                <pt idx="11">
                  <v>2.766</v>
                </pt>
                <pt idx="12">
                  <v>5.389</v>
                </pt>
              </numCache>
            </numRef>
          </yVal>
          <smooth val="1"/>
        </ser>
        <ser>
          <idx val="7"/>
          <order val="7"/>
          <tx>
            <strRef>
              <f>PeakGainCurve!$I$26</f>
              <strCache>
                <ptCount val="1"/>
                <pt idx="0">
                  <v>m=5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PeakGainCurve!$I$27:$I$39</f>
              <numCache>
                <formatCode>General</formatCode>
                <ptCount val="13"/>
                <pt idx="1">
                  <v>1.135</v>
                </pt>
                <pt idx="2">
                  <v>1.139</v>
                </pt>
                <pt idx="3">
                  <v>1.144</v>
                </pt>
                <pt idx="4">
                  <v>1.152</v>
                </pt>
                <pt idx="5">
                  <v>1.163</v>
                </pt>
                <pt idx="6">
                  <v>1.183</v>
                </pt>
                <pt idx="7">
                  <v>1.22</v>
                </pt>
                <pt idx="8">
                  <v>1.298</v>
                </pt>
                <pt idx="9">
                  <v>1.467</v>
                </pt>
                <pt idx="10">
                  <v>1.816</v>
                </pt>
                <pt idx="11">
                  <v>2.594</v>
                </pt>
                <pt idx="12">
                  <v>5.045</v>
                </pt>
              </numCache>
            </numRef>
          </yVal>
          <smooth val="1"/>
        </ser>
        <ser>
          <idx val="8"/>
          <order val="8"/>
          <tx>
            <strRef>
              <f>PeakGainCurve!$J$26</f>
              <strCache>
                <ptCount val="1"/>
                <pt idx="0">
                  <v>m=6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PeakGainCurve!$J$27:$J$39</f>
              <numCache>
                <formatCode>General</formatCode>
                <ptCount val="13"/>
                <pt idx="1">
                  <v>1.107</v>
                </pt>
                <pt idx="2">
                  <v>1.11</v>
                </pt>
                <pt idx="3">
                  <v>1.118</v>
                </pt>
                <pt idx="4">
                  <v>1.118</v>
                </pt>
                <pt idx="5">
                  <v>1.125</v>
                </pt>
                <pt idx="6">
                  <v>1.138</v>
                </pt>
                <pt idx="7">
                  <v>1.162</v>
                </pt>
                <pt idx="8">
                  <v>1.216</v>
                </pt>
                <pt idx="9">
                  <v>1.348</v>
                </pt>
                <pt idx="10">
                  <v>1.646</v>
                </pt>
                <pt idx="11">
                  <v>2.332</v>
                </pt>
                <pt idx="12">
                  <v>4.508</v>
                </pt>
              </numCache>
            </numRef>
          </yVal>
          <smooth val="1"/>
        </ser>
        <ser>
          <idx val="9"/>
          <order val="9"/>
          <tx>
            <strRef>
              <f>PeakGainCurve!$K$26</f>
              <strCache>
                <ptCount val="1"/>
                <pt idx="0">
                  <v>m=7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PeakGainCurve!$K$27:$K$39</f>
              <numCache>
                <formatCode>General</formatCode>
                <ptCount val="13"/>
                <pt idx="1">
                  <v>1.088</v>
                </pt>
                <pt idx="2">
                  <v>1.09</v>
                </pt>
                <pt idx="3">
                  <v>1.093</v>
                </pt>
                <pt idx="4">
                  <v>1.096</v>
                </pt>
                <pt idx="5">
                  <v>1.101</v>
                </pt>
                <pt idx="6">
                  <v>1.11</v>
                </pt>
                <pt idx="7">
                  <v>1.126</v>
                </pt>
                <pt idx="8">
                  <v>1.163</v>
                </pt>
                <pt idx="9">
                  <v>1.265</v>
                </pt>
                <pt idx="10">
                  <v>1.523</v>
                </pt>
                <pt idx="11">
                  <v>2.14</v>
                </pt>
                <pt idx="12">
                  <v>4.129</v>
                </pt>
              </numCache>
            </numRef>
          </yVal>
          <smooth val="1"/>
        </ser>
        <ser>
          <idx val="10"/>
          <order val="10"/>
          <tx>
            <strRef>
              <f>PeakGainCurve!$L$26</f>
              <strCache>
                <ptCount val="1"/>
                <pt idx="0">
                  <v>m=8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PeakGainCurve!$L$27:$L$39</f>
              <numCache>
                <formatCode>General</formatCode>
                <ptCount val="13"/>
                <pt idx="1">
                  <v>1.075</v>
                </pt>
                <pt idx="2">
                  <v>1.077</v>
                </pt>
                <pt idx="3">
                  <v>1.078</v>
                </pt>
                <pt idx="4">
                  <v>1.081</v>
                </pt>
                <pt idx="5">
                  <v>1.085</v>
                </pt>
                <pt idx="6">
                  <v>1.091</v>
                </pt>
                <pt idx="7">
                  <v>1.102</v>
                </pt>
                <pt idx="8">
                  <v>1.128</v>
                </pt>
                <pt idx="9">
                  <v>1.206</v>
                </pt>
                <pt idx="10">
                  <v>1.43</v>
                </pt>
                <pt idx="11">
                  <v>1.993</v>
                </pt>
                <pt idx="12">
                  <v>3.828</v>
                </pt>
              </numCache>
            </numRef>
          </yVal>
          <smooth val="1"/>
        </ser>
        <ser>
          <idx val="11"/>
          <order val="11"/>
          <tx>
            <strRef>
              <f>PeakGainCurve!$M$26</f>
              <strCache>
                <ptCount val="1"/>
                <pt idx="0">
                  <v>m=9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PeakGainCurve!$M$27:$M$39</f>
              <numCache>
                <formatCode>General</formatCode>
                <ptCount val="13"/>
                <pt idx="1">
                  <v>1.065</v>
                </pt>
                <pt idx="2">
                  <v>1.066</v>
                </pt>
                <pt idx="3">
                  <v>1.068</v>
                </pt>
                <pt idx="4">
                  <v>1.07</v>
                </pt>
                <pt idx="5">
                  <v>1.073</v>
                </pt>
                <pt idx="6">
                  <v>1.077</v>
                </pt>
                <pt idx="7">
                  <v>1.086</v>
                </pt>
                <pt idx="8">
                  <v>1.104</v>
                </pt>
                <pt idx="9">
                  <v>1.163</v>
                </pt>
                <pt idx="10">
                  <v>1.357</v>
                </pt>
                <pt idx="11">
                  <v>1.874</v>
                </pt>
                <pt idx="12">
                  <v>3.583</v>
                </pt>
              </numCache>
            </numRef>
          </yVal>
          <smooth val="1"/>
        </ser>
        <ser>
          <idx val="12"/>
          <order val="12"/>
          <tx>
            <strRef>
              <f>PeakGainCurve!$N$26</f>
              <strCache>
                <ptCount val="1"/>
                <pt idx="0">
                  <v>m=10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PeakGainCurve!$N$27:$N$39</f>
              <numCache>
                <formatCode>General</formatCode>
                <ptCount val="13"/>
                <pt idx="1">
                  <v>1.058</v>
                </pt>
                <pt idx="2">
                  <v>1.059</v>
                </pt>
                <pt idx="3">
                  <v>1.06</v>
                </pt>
                <pt idx="4">
                  <v>1.061</v>
                </pt>
                <pt idx="5">
                  <v>1.064</v>
                </pt>
                <pt idx="6">
                  <v>1.067</v>
                </pt>
                <pt idx="7">
                  <v>1.074</v>
                </pt>
                <pt idx="8">
                  <v>1.088</v>
                </pt>
                <pt idx="9">
                  <v>1.131</v>
                </pt>
                <pt idx="10">
                  <v>1.299</v>
                </pt>
                <pt idx="11">
                  <v>1.777</v>
                </pt>
                <pt idx="12">
                  <v>3.384</v>
                </pt>
              </numCache>
            </numRef>
          </yVal>
          <smooth val="1"/>
        </ser>
        <ser>
          <idx val="13"/>
          <order val="13"/>
          <tx>
            <strRef>
              <f>PeakGainCurve!$O$26</f>
              <strCache>
                <ptCount val="1"/>
                <pt idx="0">
                  <v>m=12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PeakGainCurve!$O$27:$O$39</f>
              <numCache>
                <formatCode>General</formatCode>
                <ptCount val="13"/>
                <pt idx="1">
                  <v>1.047</v>
                </pt>
                <pt idx="2">
                  <v>1.048</v>
                </pt>
                <pt idx="3">
                  <v>1.048</v>
                </pt>
                <pt idx="4">
                  <v>1.049</v>
                </pt>
                <pt idx="5">
                  <v>1.051</v>
                </pt>
                <pt idx="6">
                  <v>1.053</v>
                </pt>
                <pt idx="7">
                  <v>1.057</v>
                </pt>
                <pt idx="8">
                  <v>1.066</v>
                </pt>
                <pt idx="9">
                  <v>1.091</v>
                </pt>
                <pt idx="10">
                  <v>1.212</v>
                </pt>
                <pt idx="11">
                  <v>1.626</v>
                </pt>
                <pt idx="12">
                  <v>3.069</v>
                </pt>
              </numCache>
            </numRef>
          </yVal>
          <smooth val="1"/>
        </ser>
        <ser>
          <idx val="14"/>
          <order val="14"/>
          <tx>
            <strRef>
              <f>PeakGainCurve!$P$26</f>
              <strCache>
                <ptCount val="1"/>
                <pt idx="0">
                  <v>m=14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PeakGainCurve!$P$27:$P$39</f>
              <numCache>
                <formatCode>General</formatCode>
                <ptCount val="13"/>
                <pt idx="1">
                  <v>1.04</v>
                </pt>
                <pt idx="2">
                  <v>1.04</v>
                </pt>
                <pt idx="3">
                  <v>1.04</v>
                </pt>
                <pt idx="4">
                  <v>1.041</v>
                </pt>
                <pt idx="5">
                  <v>1.042</v>
                </pt>
                <pt idx="6">
                  <v>1.044</v>
                </pt>
                <pt idx="7">
                  <v>1.047</v>
                </pt>
                <pt idx="8">
                  <v>1.052</v>
                </pt>
                <pt idx="9">
                  <v>1.068</v>
                </pt>
                <pt idx="10">
                  <v>1.152</v>
                </pt>
                <pt idx="11">
                  <v>1.513</v>
                </pt>
                <pt idx="12">
                  <v>2.828</v>
                </pt>
              </numCache>
            </numRef>
          </yVal>
          <smooth val="1"/>
        </ser>
        <ser>
          <idx val="15"/>
          <order val="15"/>
          <tx>
            <strRef>
              <f>PeakGainCurve!$Q$26</f>
              <strCache>
                <ptCount val="1"/>
                <pt idx="0">
                  <v>m=16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PeakGainCurve!$A$27:$A$39</f>
              <numCache>
                <formatCode>General</formatCode>
                <ptCount val="13"/>
                <pt idx="1">
                  <v>1.2</v>
                </pt>
                <pt idx="2">
                  <v>1.1</v>
                </pt>
                <pt idx="3">
                  <v>1</v>
                </pt>
                <pt idx="4">
                  <v>0.9</v>
                </pt>
                <pt idx="5">
                  <v>0.8</v>
                </pt>
                <pt idx="6">
                  <v>0.7</v>
                </pt>
                <pt idx="7">
                  <v>0.6</v>
                </pt>
                <pt idx="8">
                  <v>0.5</v>
                </pt>
                <pt idx="9">
                  <v>0.4</v>
                </pt>
                <pt idx="10">
                  <v>0.3</v>
                </pt>
                <pt idx="11">
                  <v>0.2</v>
                </pt>
                <pt idx="12">
                  <v>0.1</v>
                </pt>
              </numCache>
            </numRef>
          </xVal>
          <yVal>
            <numRef>
              <f>PeakGainCurve!$Q$27:$Q$39</f>
              <numCache>
                <formatCode>General</formatCode>
                <ptCount val="13"/>
                <pt idx="1">
                  <v>1.034</v>
                </pt>
                <pt idx="2">
                  <v>1.035</v>
                </pt>
                <pt idx="3">
                  <v>1.035</v>
                </pt>
                <pt idx="4">
                  <v>1.035</v>
                </pt>
                <pt idx="5">
                  <v>1.036</v>
                </pt>
                <pt idx="6">
                  <v>1.037</v>
                </pt>
                <pt idx="7">
                  <v>1.039</v>
                </pt>
                <pt idx="8">
                  <v>1.043</v>
                </pt>
                <pt idx="9">
                  <v>1.054</v>
                </pt>
                <pt idx="10">
                  <v>1.11</v>
                </pt>
                <pt idx="11">
                  <v>1.426</v>
                </pt>
                <pt idx="12">
                  <v>2.511</v>
                </pt>
              </numCache>
            </numRef>
          </yVal>
          <smooth val="1"/>
        </ser>
        <ser>
          <idx val="16"/>
          <order val="16"/>
          <tx>
            <v>Required Gain</v>
          </tx>
          <spPr>
            <a:ln xmlns:a="http://schemas.openxmlformats.org/drawingml/2006/main">
              <a:solidFill>
                <a:srgbClr val="FF0000"/>
              </a:solidFill>
              <a:prstDash val="sysDot"/>
              <a:headEnd w="med" len="med"/>
              <a:tailEnd w="med" len="med"/>
            </a:ln>
          </spPr>
          <marker>
            <symbol val="none"/>
            <spPr>
              <a:ln xmlns:a="http://schemas.openxmlformats.org/drawingml/2006/main">
                <a:solidFill>
                  <a:srgbClr val="FF0000"/>
                </a:solidFill>
                <a:prstDash val="sysDot"/>
                <a:headEnd w="med" len="med"/>
                <a:tailEnd w="med" len="med"/>
              </a:ln>
            </spPr>
          </marker>
          <xVal>
            <numRef>
              <f>PeakGainCurve!$A$28:$A$39</f>
              <numCache>
                <formatCode>General</formatCode>
                <ptCount val="12"/>
                <pt idx="0">
                  <v>1.2</v>
                </pt>
                <pt idx="1">
                  <v>1.1</v>
                </pt>
                <pt idx="2">
                  <v>1</v>
                </pt>
                <pt idx="3">
                  <v>0.9</v>
                </pt>
                <pt idx="4">
                  <v>0.8</v>
                </pt>
                <pt idx="5">
                  <v>0.7</v>
                </pt>
                <pt idx="6">
                  <v>0.6</v>
                </pt>
                <pt idx="7">
                  <v>0.5</v>
                </pt>
                <pt idx="8">
                  <v>0.4</v>
                </pt>
                <pt idx="9">
                  <v>0.3</v>
                </pt>
                <pt idx="10">
                  <v>0.2</v>
                </pt>
                <pt idx="11">
                  <v>0.1</v>
                </pt>
              </numCache>
            </numRef>
          </xVal>
          <yVal>
            <numRef>
              <f>PeakGainCurve!$R$28:$R$39</f>
              <numCache>
                <formatCode>General</formatCode>
                <ptCount val="12"/>
                <pt idx="0">
                  <v>1.49292</v>
                </pt>
                <pt idx="1">
                  <v>1.49292</v>
                </pt>
                <pt idx="2">
                  <v>1.49292</v>
                </pt>
                <pt idx="3">
                  <v>1.49292</v>
                </pt>
                <pt idx="4">
                  <v>1.49292</v>
                </pt>
                <pt idx="5">
                  <v>1.49292</v>
                </pt>
                <pt idx="6">
                  <v>1.49292</v>
                </pt>
                <pt idx="7">
                  <v>1.49292</v>
                </pt>
                <pt idx="8">
                  <v>1.49292</v>
                </pt>
                <pt idx="9">
                  <v>1.49292</v>
                </pt>
                <pt idx="10">
                  <v>1.49292</v>
                </pt>
                <pt idx="11">
                  <v>1.49292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8837376"/>
        <axId val="158855552"/>
      </scatterChart>
      <valAx>
        <axId val="158837376"/>
        <scaling>
          <orientation val="minMax"/>
          <max val="1"/>
          <min val="0.1"/>
        </scaling>
        <delete val="0"/>
        <axPos val="b"/>
        <majorGridlines>
          <spPr>
            <a:ln xmlns:a="http://schemas.openxmlformats.org/drawingml/2006/main">
              <a:prstDash val="sysDash"/>
            </a:ln>
          </spPr>
        </majorGridlines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58855552"/>
        <crosses val="autoZero"/>
        <crossBetween val="midCat"/>
        <majorUnit val="0.1"/>
      </valAx>
      <valAx>
        <axId val="158855552"/>
        <scaling>
          <orientation val="minMax"/>
          <max val="2"/>
          <min val="1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58837376"/>
        <crosses val="autoZero"/>
        <crossBetween val="midCat"/>
      </valAx>
    </plotArea>
    <legend>
      <legendPos val="r"/>
      <legendEntry>
        <idx val="0"/>
        <delete val="1"/>
      </legendEntry>
      <legendEntry>
        <idx val="1"/>
        <delete val="1"/>
      </legendEntry>
      <layout>
        <manualLayout>
          <xMode val="edge"/>
          <yMode val="edge"/>
          <wMode val="factor"/>
          <hMode val="factor"/>
          <x val="0.7930508680089378"/>
          <y val="0.03701977503591172"/>
          <w val="0.1721076638976599"/>
          <h val="0.5444318377398586"/>
        </manualLayout>
      </layout>
      <overlay val="0"/>
      <spPr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1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063837020372455"/>
          <y val="0.02885645142310428"/>
          <w val="0.8282715792601396"/>
          <h val="0.9060320383928615"/>
        </manualLayout>
      </layout>
      <scatterChart>
        <scatterStyle val="smoothMarker"/>
        <varyColors val="0"/>
        <ser>
          <idx val="0"/>
          <order val="0"/>
          <tx>
            <strRef>
              <f>GainCurve!$C$7</f>
              <strCache>
                <ptCount val="1"/>
                <pt idx="0">
                  <v>100%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GainCurve!$C$8:$C$110</f>
              <numCache>
                <formatCode>0.00</formatCode>
                <ptCount val="103"/>
                <pt idx="0">
                  <v>1.200356819182613</v>
                </pt>
                <pt idx="1">
                  <v>1.269073922716511</v>
                </pt>
                <pt idx="2">
                  <v>1.340323035979281</v>
                </pt>
                <pt idx="3">
                  <v>1.413510099714058</v>
                </pt>
                <pt idx="4">
                  <v>1.487816673787434</v>
                </pt>
                <pt idx="5">
                  <v>1.56218027595442</v>
                </pt>
                <pt idx="6">
                  <v>1.635294826795266</v>
                </pt>
                <pt idx="7">
                  <v>1.705641034881759</v>
                </pt>
                <pt idx="8">
                  <v>1.771554519237018</v>
                </pt>
                <pt idx="9">
                  <v>1.831333560394243</v>
                </pt>
                <pt idx="10">
                  <v>1.883378698957438</v>
                </pt>
                <pt idx="11">
                  <v>1.926345187204485</v>
                </pt>
                <pt idx="12">
                  <v>1.959280825017072</v>
                </pt>
                <pt idx="13">
                  <v>1.981720599258302</v>
                </pt>
                <pt idx="14">
                  <v>1.993717938798538</v>
                </pt>
                <pt idx="15">
                  <v>1.995807968750014</v>
                </pt>
                <pt idx="16">
                  <v>1.988914849099664</v>
                </pt>
                <pt idx="17">
                  <v>1.974226678738204</v>
                </pt>
                <pt idx="18">
                  <v>1.953064206480792</v>
                </pt>
                <pt idx="19">
                  <v>1.926764662926193</v>
                </pt>
                <pt idx="20">
                  <v>1.896593128218929</v>
                </pt>
                <pt idx="21">
                  <v>1.863684944085283</v>
                </pt>
                <pt idx="22">
                  <v>1.829016239449816</v>
                </pt>
                <pt idx="23">
                  <v>1.793396324916612</v>
                </pt>
                <pt idx="24">
                  <v>1.757474958409016</v>
                </pt>
                <pt idx="25">
                  <v>1.721758291271065</v>
                </pt>
                <pt idx="26">
                  <v>1.686628766683849</v>
                </pt>
                <pt idx="27">
                  <v>1.652365761196233</v>
                </pt>
                <pt idx="28">
                  <v>1.619165035678392</v>
                </pt>
                <pt idx="29">
                  <v>1.587156002433517</v>
                </pt>
                <pt idx="30">
                  <v>1.556416441806033</v>
                </pt>
                <pt idx="31">
                  <v>1.526984680410544</v>
                </pt>
                <pt idx="32">
                  <v>1.498869446273414</v>
                </pt>
                <pt idx="33">
                  <v>1.472057705011005</v>
                </pt>
                <pt idx="34">
                  <v>1.446520801325889</v>
                </pt>
                <pt idx="35">
                  <v>1.422219212763771</v>
                </pt>
                <pt idx="36">
                  <v>1.399106187687454</v>
                </pt>
                <pt idx="37">
                  <v>1.377130498604231</v>
                </pt>
                <pt idx="38">
                  <v>1.35623850182952</v>
                </pt>
                <pt idx="39">
                  <v>1.336375658165234</v>
                </pt>
                <pt idx="40">
                  <v>1.317487638042252</v>
                </pt>
                <pt idx="41">
                  <v>1.29952110856801</v>
                </pt>
                <pt idx="42">
                  <v>1.282424278736181</v>
                </pt>
                <pt idx="43">
                  <v>1.266147262072465</v>
                </pt>
                <pt idx="44">
                  <v>1.250642302532666</v>
                </pt>
                <pt idx="45">
                  <v>1.235863898896951</v>
                </pt>
                <pt idx="46">
                  <v>1.221768854653371</v>
                </pt>
                <pt idx="47">
                  <v>1.208316273957433</v>
                </pt>
                <pt idx="48">
                  <v>1.195467519300506</v>
                </pt>
                <pt idx="49">
                  <v>1.183186142701645</v>
                </pt>
                <pt idx="50">
                  <v>1.171437799303074</v>
                </pt>
                <pt idx="51">
                  <v>1.160190150000183</v>
                </pt>
                <pt idx="52">
                  <v>1.14941275801716</v>
                </pt>
                <pt idx="53">
                  <v>1.139076983027856</v>
                </pt>
                <pt idx="54">
                  <v>1.129155875424281</v>
                </pt>
                <pt idx="55">
                  <v>1.119624072579522</v>
                </pt>
                <pt idx="56">
                  <v>1.110457698381551</v>
                </pt>
                <pt idx="57">
                  <v>1.101634266886209</v>
                </pt>
                <pt idx="58">
                  <v>1.093132590618108</v>
                </pt>
                <pt idx="59">
                  <v>1.084932693811745</v>
                </pt>
                <pt idx="60">
                  <v>1.077015730711941</v>
                </pt>
                <pt idx="61">
                  <v>1.069363908927696</v>
                </pt>
                <pt idx="62">
                  <v>1.061960417745001</v>
                </pt>
                <pt idx="63">
                  <v>1.054789361243182</v>
                </pt>
                <pt idx="64">
                  <v>1.047835696019047</v>
                </pt>
                <pt idx="65">
                  <v>1.041085173298266</v>
                </pt>
                <pt idx="66">
                  <v>1.034524285199994</v>
                </pt>
                <pt idx="67">
                  <v>1.02814021491571</v>
                </pt>
                <pt idx="68">
                  <v>1.021920790564207</v>
                </pt>
                <pt idx="69">
                  <v>1.0158544424899</v>
                </pt>
                <pt idx="70">
                  <v>1.009930163779762</v>
                </pt>
                <pt idx="71">
                  <v>1.004137473784255</v>
                </pt>
                <pt idx="72">
                  <v>0.9984663844387874</v>
                </pt>
                <pt idx="73">
                  <v>0.9929073691940363</v>
                </pt>
                <pt idx="74">
                  <v>0.987451334375427</v>
                </pt>
                <pt idx="75">
                  <v>0.9820895928038713</v>
                </pt>
                <pt idx="76">
                  <v>0.9768138395214139</v>
                </pt>
                <pt idx="77">
                  <v>0.9716161294764267</v>
                </pt>
                <pt idx="78">
                  <v>0.9664888570334818</v>
                </pt>
                <pt idx="79">
                  <v>0.9614247371828325</v>
                </pt>
                <pt idx="80">
                  <v>0.9564167883336219</v>
                </pt>
                <pt idx="81">
                  <v>0.9514583165834195</v>
                </pt>
                <pt idx="82">
                  <v>0.9465429013645232</v>
                </pt>
                <pt idx="83">
                  <v>0.9416643823746222</v>
                </pt>
                <pt idx="84">
                  <v>0.936816847705975</v>
                </pt>
                <pt idx="85">
                  <v>0.9319946230931817</v>
                </pt>
                <pt idx="86">
                  <v>0.927192262204994</v>
                </pt>
                <pt idx="87">
                  <v>0.9224045379104221</v>
                </pt>
                <pt idx="88">
                  <v>0.9176264344537177</v>
                </pt>
                <pt idx="89">
                  <v>0.9128531404766262</v>
                </pt>
                <pt idx="90">
                  <v>0.9080800428297213</v>
                </pt>
                <pt idx="91">
                  <v>0.9033027211175862</v>
                </pt>
                <pt idx="92">
                  <v>0.8985169429252481</v>
                </pt>
                <pt idx="93">
                  <v>0.8937186596755132</v>
                </pt>
                <pt idx="94">
                  <v>0.8889040030688237</v>
                </pt>
                <pt idx="95">
                  <v>0.884069282058933</v>
                </pt>
                <pt idx="96">
                  <v>0.8792109803191256</v>
                </pt>
                <pt idx="97">
                  <v>0.8743257541549347</v>
                </pt>
                <pt idx="98">
                  <v>0.8694104308203274</v>
                </pt>
                <pt idx="99">
                  <v>0.864462007195228</v>
                </pt>
                <pt idx="100">
                  <v>0.8594776487829808</v>
                </pt>
                <pt idx="101">
                  <v>0.854454688987019</v>
                </pt>
                <pt idx="102">
                  <v>0.8493906286265963</v>
                </pt>
              </numCache>
            </numRef>
          </yVal>
          <smooth val="1"/>
        </ser>
        <ser>
          <idx val="1"/>
          <order val="1"/>
          <tx>
            <strRef>
              <f>GainCurve!$D$7</f>
              <strCache>
                <ptCount val="1"/>
                <pt idx="0">
                  <v>80%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GainCurve!$D$8:$D$110</f>
              <numCache>
                <formatCode>0.00</formatCode>
                <ptCount val="103"/>
                <pt idx="0">
                  <v>1.377133457182082</v>
                </pt>
                <pt idx="1">
                  <v>1.471428989313529</v>
                </pt>
                <pt idx="2">
                  <v>1.571280770522953</v>
                </pt>
                <pt idx="3">
                  <v>1.675939050951181</v>
                </pt>
                <pt idx="4">
                  <v>1.784127306148694</v>
                </pt>
                <pt idx="5">
                  <v>1.893921351102692</v>
                </pt>
                <pt idx="6">
                  <v>2.002670765247843</v>
                </pt>
                <pt idx="7">
                  <v>2.107014399694058</v>
                </pt>
                <pt idx="8">
                  <v>2.20304654943704</v>
                </pt>
                <pt idx="9">
                  <v>2.2866690181499</v>
                </pt>
                <pt idx="10">
                  <v>2.354107238303522</v>
                </pt>
                <pt idx="11">
                  <v>2.402488245669918</v>
                </pt>
                <pt idx="12">
                  <v>2.430316545644658</v>
                </pt>
                <pt idx="13">
                  <v>2.437690739920366</v>
                </pt>
                <pt idx="14">
                  <v>2.426192707839673</v>
                </pt>
                <pt idx="15">
                  <v>2.398505778732819</v>
                </pt>
                <pt idx="16">
                  <v>2.357905342625389</v>
                </pt>
                <pt idx="17">
                  <v>2.307774166814212</v>
                </pt>
                <pt idx="18">
                  <v>2.251241557756559</v>
                </pt>
                <pt idx="19">
                  <v>2.190975972934673</v>
                </pt>
                <pt idx="20">
                  <v>2.129110279932591</v>
                </pt>
                <pt idx="21">
                  <v>2.067257678358825</v>
                </pt>
                <pt idx="22">
                  <v>2.00657686972598</v>
                </pt>
                <pt idx="23">
                  <v>1.947855598551849</v>
                </pt>
                <pt idx="24">
                  <v>1.891593664120995</v>
                </pt>
                <pt idx="25">
                  <v>1.838075974350272</v>
                </pt>
                <pt idx="26">
                  <v>1.787432356575039</v>
                </pt>
                <pt idx="27">
                  <v>1.739684232717649</v>
                </pt>
                <pt idx="28">
                  <v>1.694779815084581</v>
                </pt>
                <pt idx="29">
                  <v>1.652619957655705</v>
                </pt>
                <pt idx="30">
                  <v>1.613076734925684</v>
                </pt>
                <pt idx="31">
                  <v>1.576006531559784</v>
                </pt>
                <pt idx="32">
                  <v>1.541259079445841</v>
                </pt>
                <pt idx="33">
                  <v>1.508683553005778</v>
                </pt>
                <pt idx="34">
                  <v>1.478132558703197</v>
                </pt>
                <pt idx="35">
                  <v>1.44946463595908</v>
                </pt>
                <pt idx="36">
                  <v>1.422545718911834</v>
                </pt>
                <pt idx="37">
                  <v>1.397249882811427</v>
                </pt>
                <pt idx="38">
                  <v>1.373459606273514</v>
                </pt>
                <pt idx="39">
                  <v>1.351065713215758</v>
                </pt>
                <pt idx="40">
                  <v>1.329967109633041</v>
                </pt>
                <pt idx="41">
                  <v>1.310070395461528</v>
                </pt>
                <pt idx="42">
                  <v>1.291289406878472</v>
                </pt>
                <pt idx="43">
                  <v>1.27354472670477</v>
                </pt>
                <pt idx="44">
                  <v>1.256763188086404</v>
                </pt>
                <pt idx="45">
                  <v>1.240877387853608</v>
                </pt>
                <pt idx="46">
                  <v>1.225825219828655</v>
                </pt>
                <pt idx="47">
                  <v>1.211549434109931</v>
                </pt>
                <pt idx="48">
                  <v>1.197997225453718</v>
                </pt>
                <pt idx="49">
                  <v>1.185119851914138</v>
                </pt>
                <pt idx="50">
                  <v>1.17287228360651</v>
                </pt>
                <pt idx="51">
                  <v>1.16121288063045</v>
                </pt>
                <pt idx="52">
                  <v>1.150103098684777</v>
                </pt>
                <pt idx="53">
                  <v>1.139507220625637</v>
                </pt>
                <pt idx="54">
                  <v>1.129392112090933</v>
                </pt>
                <pt idx="55">
                  <v>1.119726999287635</v>
                </pt>
                <pt idx="56">
                  <v>1.110483267078276</v>
                </pt>
                <pt idx="57">
                  <v>1.101634275584181</v>
                </pt>
                <pt idx="58">
                  <v>1.093155193628356</v>
                </pt>
                <pt idx="59">
                  <v>1.085022847458846</v>
                </pt>
                <pt idx="60">
                  <v>1.077215583315562</v>
                </pt>
                <pt idx="61">
                  <v>1.069713142524981</v>
                </pt>
                <pt idx="62">
                  <v>1.062496547924258</v>
                </pt>
                <pt idx="63">
                  <v>1.055548000527156</v>
                </pt>
                <pt idx="64">
                  <v>1.048850785447676</v>
                </pt>
                <pt idx="65">
                  <v>1.042389186192858</v>
                </pt>
                <pt idx="66">
                  <v>1.036148406523819</v>
                </pt>
                <pt idx="67">
                  <v>1.030114499163965</v>
                </pt>
                <pt idx="68">
                  <v>1.024274300705712</v>
                </pt>
                <pt idx="69">
                  <v>1.018615372132583</v>
                </pt>
                <pt idx="70">
                  <v>1.01312594443255</v>
                </pt>
                <pt idx="71">
                  <v>1.007794868831694</v>
                </pt>
                <pt idx="72">
                  <v>1.002611571224976</v>
                </pt>
                <pt idx="73">
                  <v>0.9975660104238077</v>
                </pt>
                <pt idx="74">
                  <v>0.9926486398785538</v>
                </pt>
                <pt idx="75">
                  <v>0.987850372568598</v>
                </pt>
                <pt idx="76">
                  <v>0.9831625487834854</v>
                </pt>
                <pt idx="77">
                  <v>0.9785769065463589</v>
                </pt>
                <pt idx="78">
                  <v>0.9740855544557224</v>
                </pt>
                <pt idx="79">
                  <v>0.969680946743793</v>
                </pt>
                <pt idx="80">
                  <v>0.9653558603696432</v>
                </pt>
                <pt idx="81">
                  <v>0.9611033739831916</v>
                </pt>
                <pt idx="82">
                  <v>0.9569168486121167</v>
                </pt>
                <pt idx="83">
                  <v>0.9527899099381147</v>
                </pt>
                <pt idx="84">
                  <v>0.948716432041798</v>
                </pt>
                <pt idx="85">
                  <v>0.9446905225070592</v>
                </pt>
                <pt idx="86">
                  <v>0.9407065087860565</v>
                </pt>
                <pt idx="87">
                  <v>0.936758925735233</v>
                </pt>
                <pt idx="88">
                  <v>0.9328425042410703</v>
                </pt>
                <pt idx="89">
                  <v>0.9289521608616621</v>
                </pt>
                <pt idx="90">
                  <v>0.925082988416843</v>
                </pt>
                <pt idx="91">
                  <v>0.9212302474654555</v>
                </pt>
                <pt idx="92">
                  <v>0.9173893586136204</v>
                </pt>
                <pt idx="93">
                  <v>0.9135558956025053</v>
                </pt>
                <pt idx="94">
                  <v>0.9097255791281981</v>
                </pt>
                <pt idx="95">
                  <v>0.905894271349917</v>
                </pt>
                <pt idx="96">
                  <v>0.9020579710459484</v>
                </pt>
                <pt idx="97">
                  <v>0.8982128093794689</v>
                </pt>
                <pt idx="98">
                  <v>0.8943550462387667</v>
                </pt>
                <pt idx="99">
                  <v>0.8904810671184373</v>
                </pt>
                <pt idx="100">
                  <v>0.8865873805098157</v>
                </pt>
                <pt idx="101">
                  <v>0.882670615770346</v>
                </pt>
                <pt idx="102">
                  <v>0.8787275214427429</v>
                </pt>
              </numCache>
            </numRef>
          </yVal>
          <smooth val="1"/>
        </ser>
        <ser>
          <idx val="2"/>
          <order val="2"/>
          <tx>
            <strRef>
              <f>GainCurve!$E$7</f>
              <strCache>
                <ptCount val="1"/>
                <pt idx="0">
                  <v>60%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GainCurve!$E$8:$E$110</f>
              <numCache>
                <formatCode>0.00</formatCode>
                <ptCount val="103"/>
                <pt idx="0">
                  <v>1.585906462687155</v>
                </pt>
                <pt idx="1">
                  <v>1.719599358964015</v>
                </pt>
                <pt idx="2">
                  <v>1.866265610106041</v>
                </pt>
                <pt idx="3">
                  <v>2.025845555570737</v>
                </pt>
                <pt idx="4">
                  <v>2.19719293411638</v>
                </pt>
                <pt idx="5">
                  <v>2.377469268065348</v>
                </pt>
                <pt idx="6">
                  <v>2.56146327722382</v>
                </pt>
                <pt idx="7">
                  <v>2.741068043195959</v>
                </pt>
                <pt idx="8">
                  <v>2.905350793840222</v>
                </pt>
                <pt idx="9">
                  <v>3.041733399140786</v>
                </pt>
                <pt idx="10">
                  <v>3.138475182894117</v>
                </pt>
                <pt idx="11">
                  <v>3.187804108317799</v>
                </pt>
                <pt idx="12">
                  <v>3.188220399951764</v>
                </pt>
                <pt idx="13">
                  <v>3.14466301784682</v>
                </pt>
                <pt idx="14">
                  <v>3.066530692339745</v>
                </pt>
                <pt idx="15">
                  <v>2.964808057662703</v>
                </pt>
                <pt idx="16">
                  <v>2.849679473593371</v>
                </pt>
                <pt idx="17">
                  <v>2.729257322761684</v>
                </pt>
                <pt idx="18">
                  <v>2.609300912516753</v>
                </pt>
                <pt idx="19">
                  <v>2.493505453079838</v>
                </pt>
                <pt idx="20">
                  <v>2.383991774971058</v>
                </pt>
                <pt idx="21">
                  <v>2.281785007556839</v>
                </pt>
                <pt idx="22">
                  <v>2.18719901704159</v>
                </pt>
                <pt idx="23">
                  <v>2.100114452908403</v>
                </pt>
                <pt idx="24">
                  <v>2.020166993920343</v>
                </pt>
                <pt idx="25">
                  <v>1.946868869174082</v>
                </pt>
                <pt idx="26">
                  <v>1.879684198340869</v>
                </pt>
                <pt idx="27">
                  <v>1.818073774335828</v>
                </pt>
                <pt idx="28">
                  <v>1.761520261556138</v>
                </pt>
                <pt idx="29">
                  <v>1.709541167608481</v>
                </pt>
                <pt idx="30">
                  <v>1.661694377765601</v>
                </pt>
                <pt idx="31">
                  <v>1.617579304512642</v>
                </pt>
                <pt idx="32">
                  <v>1.576835564665822</v>
                </pt>
                <pt idx="33">
                  <v>1.539140362775491</v>
                </pt>
                <pt idx="34">
                  <v>1.504205293558861</v>
                </pt>
                <pt idx="35">
                  <v>1.471772983412802</v>
                </pt>
                <pt idx="36">
                  <v>1.441613809106133</v>
                </pt>
                <pt idx="37">
                  <v>1.413522819982114</v>
                </pt>
                <pt idx="38">
                  <v>1.387316922413449</v>
                </pt>
                <pt idx="39">
                  <v>1.362832345298943</v>
                </pt>
                <pt idx="40">
                  <v>1.33992238259755</v>
                </pt>
                <pt idx="41">
                  <v>1.318455396653641</v>
                </pt>
                <pt idx="42">
                  <v>1.298313060223869</v>
                </pt>
                <pt idx="43">
                  <v>1.279388813071427</v>
                </pt>
                <pt idx="44">
                  <v>1.261586509130915</v>
                </pt>
                <pt idx="45">
                  <v>1.244819231568846</v>
                </pt>
                <pt idx="46">
                  <v>1.229008254964127</v>
                </pt>
                <pt idx="47">
                  <v>1.21408213594723</v>
                </pt>
                <pt idx="48">
                  <v>1.199975915756908</v>
                </pt>
                <pt idx="49">
                  <v>1.186630420184373</v>
                </pt>
                <pt idx="50">
                  <v>1.173991644219972</v>
                </pt>
                <pt idx="51">
                  <v>1.162010210374208</v>
                </pt>
                <pt idx="52">
                  <v>1.150640891111576</v>
                </pt>
                <pt idx="53">
                  <v>1.13984218712096</v>
                </pt>
                <pt idx="54">
                  <v>1.129575954265218</v>
                </pt>
                <pt idx="55">
                  <v>1.11980707302182</v>
                </pt>
                <pt idx="56">
                  <v>1.110503155063509</v>
                </pt>
                <pt idx="57">
                  <v>1.101634282349271</v>
                </pt>
                <pt idx="58">
                  <v>1.093172774716828</v>
                </pt>
                <pt idx="59">
                  <v>1.085092982502</v>
                </pt>
                <pt idx="60">
                  <v>1.077371101169668</v>
                </pt>
                <pt idx="61">
                  <v>1.069985005336428</v>
                </pt>
                <pt idx="62">
                  <v>1.062914099905291</v>
                </pt>
                <pt idx="63">
                  <v>1.056139186326051</v>
                </pt>
                <pt idx="64">
                  <v>1.049642342247865</v>
                </pt>
                <pt idx="65">
                  <v>1.043406813048955</v>
                </pt>
                <pt idx="66">
                  <v>1.03741691391723</v>
                </pt>
                <pt idx="67">
                  <v>1.031657941319034</v>
                </pt>
                <pt idx="68">
                  <v>1.026116092835054</v>
                </pt>
                <pt idx="69">
                  <v>1.020778394465424</v>
                </pt>
                <pt idx="70">
                  <v>1.015632634613142</v>
                </pt>
                <pt idx="71">
                  <v>1.010667304048113</v>
                </pt>
                <pt idx="72">
                  <v>1.005871541235434</v>
                </pt>
                <pt idx="73">
                  <v>1.001235082482602</v>
                </pt>
                <pt idx="74">
                  <v>0.9967482164224682</v>
                </pt>
                <pt idx="75">
                  <v>0.9924017424032677</v>
                </pt>
                <pt idx="76">
                  <v>0.9881869324048574</v>
                </pt>
                <pt idx="77">
                  <v>0.9840954961423615</v>
                </pt>
                <pt idx="78">
                  <v>0.9801195490554461</v>
                </pt>
                <pt idx="79">
                  <v>0.9762515829140934</v>
                </pt>
                <pt idx="80">
                  <v>0.9724844388005992</v>
                </pt>
                <pt idx="81">
                  <v>0.9688112822530245</v>
                </pt>
                <pt idx="82">
                  <v>0.965225580377949</v>
                </pt>
                <pt idx="83">
                  <v>0.9617210807604188</v>
                </pt>
                <pt idx="84">
                  <v>0.9582917920168131</v>
                </pt>
                <pt idx="85">
                  <v>0.9549319658522107</v>
                </pt>
                <pt idx="86">
                  <v>0.9516360804979646</v>
                </pt>
                <pt idx="87">
                  <v>0.9483988254178037</v>
                </pt>
                <pt idx="88">
                  <v>0.9452150871820485</v>
                </pt>
                <pt idx="89">
                  <v>0.9420799364195861</v>
                </pt>
                <pt idx="90">
                  <v>0.9389886157663032</v>
                </pt>
                <pt idx="91">
                  <v>0.9359365287367255</v>
                </pt>
                <pt idx="92">
                  <v>0.9329192294528993</v>
                </pt>
                <pt idx="93">
                  <v>0.929932413171054</v>
                </pt>
                <pt idx="94">
                  <v>0.9269719075524387</v>
                </pt>
                <pt idx="95">
                  <v>0.9240336646299951</v>
                </pt>
                <pt idx="96">
                  <v>0.9211137534272534</v>
                </pt>
                <pt idx="97">
                  <v>0.9182083531901067</v>
                </pt>
                <pt idx="98">
                  <v>0.9153137471959101</v>
                </pt>
                <pt idx="99">
                  <v>0.9124263171078268</v>
                </pt>
                <pt idx="100">
                  <v>0.9095425378453764</v>
                </pt>
                <pt idx="101">
                  <v>0.9066589729449186</v>
                </pt>
                <pt idx="102">
                  <v>0.9037722703862491</v>
                </pt>
              </numCache>
            </numRef>
          </yVal>
          <smooth val="1"/>
        </ser>
        <ser>
          <idx val="3"/>
          <order val="3"/>
          <tx>
            <strRef>
              <f>GainCurve!$F$7</f>
              <strCache>
                <ptCount val="1"/>
                <pt idx="0">
                  <v>40%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GainCurve!$F$8:$F$110</f>
              <numCache>
                <formatCode>0.00</formatCode>
                <ptCount val="103"/>
                <pt idx="0">
                  <v>1.810823891836314</v>
                </pt>
                <pt idx="1">
                  <v>2.000698500388076</v>
                </pt>
                <pt idx="2">
                  <v>2.220121698340419</v>
                </pt>
                <pt idx="3">
                  <v>2.473849939698839</v>
                </pt>
                <pt idx="4">
                  <v>2.766083182924431</v>
                </pt>
                <pt idx="5">
                  <v>3.098612428221972</v>
                </pt>
                <pt idx="6">
                  <v>3.467188706399331</v>
                </pt>
                <pt idx="7">
                  <v>3.855598886504532</v>
                </pt>
                <pt idx="8">
                  <v>4.228905159980775</v>
                </pt>
                <pt idx="9">
                  <v>4.532332124062965</v>
                </pt>
                <pt idx="10">
                  <v>4.706280222556924</v>
                </pt>
                <pt idx="11">
                  <v>4.717037659800064</v>
                </pt>
                <pt idx="12">
                  <v>4.577885650065795</v>
                </pt>
                <pt idx="13">
                  <v>4.337523446859872</v>
                </pt>
                <pt idx="14">
                  <v>4.050344625581901</v>
                </pt>
                <pt idx="15">
                  <v>3.756575161532198</v>
                </pt>
                <pt idx="16">
                  <v>3.478892209777312</v>
                </pt>
                <pt idx="17">
                  <v>3.227088490720324</v>
                </pt>
                <pt idx="18">
                  <v>3.003530967805913</v>
                </pt>
                <pt idx="19">
                  <v>2.806968482206058</v>
                </pt>
                <pt idx="20">
                  <v>2.634694861119521</v>
                </pt>
                <pt idx="21">
                  <v>2.483637458909579</v>
                </pt>
                <pt idx="22">
                  <v>2.35084941918924</v>
                </pt>
                <pt idx="23">
                  <v>2.233699391814122</v>
                </pt>
                <pt idx="24">
                  <v>2.129917916600378</v>
                </pt>
                <pt idx="25">
                  <v>2.037581260460597</v>
                </pt>
                <pt idx="26">
                  <v>1.955071846610192</v>
                </pt>
                <pt idx="27">
                  <v>1.881033339248268</v>
                </pt>
                <pt idx="28">
                  <v>1.814328114762493</v>
                </pt>
                <pt idx="29">
                  <v>1.75399993560505</v>
                </pt>
                <pt idx="30">
                  <v>1.699242401951754</v>
                </pt>
                <pt idx="31">
                  <v>1.649372810238274</v>
                </pt>
                <pt idx="32">
                  <v>1.60381071341313</v>
                </pt>
                <pt idx="33">
                  <v>1.562060420531108</v>
                </pt>
                <pt idx="34">
                  <v>1.523696731526113</v>
                </pt>
                <pt idx="35">
                  <v>1.488353300501202</v>
                </pt>
                <pt idx="36">
                  <v>1.455713123360502</v>
                </pt>
                <pt idx="37">
                  <v>1.425500739001305</v>
                </pt>
                <pt idx="38">
                  <v>1.397475813016209</v>
                </pt>
                <pt idx="39">
                  <v>1.371427838614327</v>
                </pt>
                <pt idx="40">
                  <v>1.347171742665903</v>
                </pt>
                <pt idx="41">
                  <v>1.324544227338098</v>
                </pt>
                <pt idx="42">
                  <v>1.303400711646978</v>
                </pt>
                <pt idx="43">
                  <v>1.283612764111285</v>
                </pt>
                <pt idx="44">
                  <v>1.265065938991713</v>
                </pt>
                <pt idx="45">
                  <v>1.247657945501778</v>
                </pt>
                <pt idx="46">
                  <v>1.231297092815025</v>
                </pt>
                <pt idx="47">
                  <v>1.215900964404731</v>
                </pt>
                <pt idx="48">
                  <v>1.201395283815162</v>
                </pt>
                <pt idx="49">
                  <v>1.187712940831072</v>
                </pt>
                <pt idx="50">
                  <v>1.174793152539127</v>
                </pt>
                <pt idx="51">
                  <v>1.162580738238854</v>
                </pt>
                <pt idx="52">
                  <v>1.151025490779134</v>
                </pt>
                <pt idx="53">
                  <v>1.140081629840035</v>
                </pt>
                <pt idx="54">
                  <v>1.129707325083356</v>
                </pt>
                <pt idx="55">
                  <v>1.119864279064931</v>
                </pt>
                <pt idx="56">
                  <v>1.110517361421473</v>
                </pt>
                <pt idx="57">
                  <v>1.101634287181478</v>
                </pt>
                <pt idx="58">
                  <v>1.093185333156524</v>
                </pt>
                <pt idx="59">
                  <v>1.085143087289006</v>
                </pt>
                <pt idx="60">
                  <v>1.077482226598884</v>
                </pt>
                <pt idx="61">
                  <v>1.070179320013048</v>
                </pt>
                <pt idx="62">
                  <v>1.063212652898661</v>
                </pt>
                <pt idx="63">
                  <v>1.056562070574183</v>
                </pt>
                <pt idx="64">
                  <v>1.050208838453611</v>
                </pt>
                <pt idx="65">
                  <v>1.044135516802502</v>
                </pt>
                <pt idx="66">
                  <v>1.038325848358528</v>
                </pt>
                <pt idx="67">
                  <v>1.032764657302633</v>
                </pt>
                <pt idx="68">
                  <v>1.027437758265865</v>
                </pt>
                <pt idx="69">
                  <v>1.022331874227245</v>
                </pt>
                <pt idx="70">
                  <v>1.017434562304021</v>
                </pt>
                <pt idx="71">
                  <v>1.012734146561135</v>
                </pt>
                <pt idx="72">
                  <v>1.008219657074876</v>
                </pt>
                <pt idx="73">
                  <v>1.003880774579047</v>
                </pt>
                <pt idx="74">
                  <v>0.9997077801028196</v>
                </pt>
                <pt idx="75">
                  <v>0.995691509079514</v>
                </pt>
                <pt idx="76">
                  <v>0.991823309466521</v>
                </pt>
                <pt idx="77">
                  <v>0.9880950034696308</v>
                </pt>
                <pt idx="78">
                  <v>0.9844988525113795</v>
                </pt>
                <pt idx="79">
                  <v>0.9810275251235212</v>
                </pt>
                <pt idx="80">
                  <v>0.9776740674792541</v>
                </pt>
                <pt idx="81">
                  <v>0.9744318763119757</v>
                </pt>
                <pt idx="82">
                  <v>0.9712946739947644</v>
                </pt>
                <pt idx="83">
                  <v>0.9682564855789194</v>
                </pt>
                <pt idx="84">
                  <v>0.9653116176112184</v>
                </pt>
                <pt idx="85">
                  <v>0.9624546385683956</v>
                </pt>
                <pt idx="86">
                  <v>0.9596803607640277</v>
                </pt>
                <pt idx="87">
                  <v>0.9569838235978337</v>
                </pt>
                <pt idx="88">
                  <v>0.9543602780305523</v>
                </pt>
                <pt idx="89">
                  <v>0.9518051721792676</v>
                </pt>
                <pt idx="90">
                  <v>0.9493141379385166</v>
                </pt>
                <pt idx="91">
                  <v>0.9468829785418191</v>
                </pt>
                <pt idx="92">
                  <v>0.9445076569866274</v>
                </pt>
                <pt idx="93">
                  <v>0.9421842852531682</v>
                </pt>
                <pt idx="94">
                  <v>0.9399091142543495</v>
                </pt>
                <pt idx="95">
                  <v>0.9376785244599426</v>
                </pt>
                <pt idx="96">
                  <v>0.9354890171436717</v>
                </pt>
                <pt idx="97">
                  <v>0.9333372062067472</v>
                </pt>
                <pt idx="98">
                  <v>0.9312198105357771</v>
                </pt>
                <pt idx="99">
                  <v>0.9291336468570212</v>
                </pt>
                <pt idx="100">
                  <v>0.9270756230525485</v>
                </pt>
                <pt idx="101">
                  <v>0.9250427319071558</v>
                </pt>
                <pt idx="102">
                  <v>0.9230320452578953</v>
                </pt>
              </numCache>
            </numRef>
          </yVal>
          <smooth val="1"/>
        </ser>
        <ser>
          <idx val="4"/>
          <order val="4"/>
          <tx>
            <strRef>
              <f>GainCurve!$G$7</f>
              <strCache>
                <ptCount val="1"/>
                <pt idx="0">
                  <v>20% load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GainCurve!$G$8:$G$110</f>
              <numCache>
                <formatCode>0.00</formatCode>
                <ptCount val="103"/>
                <pt idx="0">
                  <v>2.002476191707286</v>
                </pt>
                <pt idx="1">
                  <v>2.254094486671486</v>
                </pt>
                <pt idx="2">
                  <v>2.56203584146053</v>
                </pt>
                <pt idx="3">
                  <v>2.945719507409048</v>
                </pt>
                <pt idx="4">
                  <v>3.433342379073972</v>
                </pt>
                <pt idx="5">
                  <v>4.065845848384217</v>
                </pt>
                <pt idx="6">
                  <v>4.900086406923569</v>
                </pt>
                <pt idx="7">
                  <v>6.000409808510377</v>
                </pt>
                <pt idx="8">
                  <v>7.374872370676571</v>
                </pt>
                <pt idx="9">
                  <v>8.757378419860705</v>
                </pt>
                <pt idx="10">
                  <v>9.397133954455276</v>
                </pt>
                <pt idx="11">
                  <v>8.816226273281842</v>
                </pt>
                <pt idx="12">
                  <v>7.59865587164628</v>
                </pt>
                <pt idx="13">
                  <v>6.405980078442381</v>
                </pt>
                <pt idx="14">
                  <v>5.445390109188815</v>
                </pt>
                <pt idx="15">
                  <v>4.707713788518072</v>
                </pt>
                <pt idx="16">
                  <v>4.140990790316105</v>
                </pt>
                <pt idx="17">
                  <v>3.698925594677556</v>
                </pt>
                <pt idx="18">
                  <v>3.34760480529626</v>
                </pt>
                <pt idx="19">
                  <v>3.063266812782148</v>
                </pt>
                <pt idx="20">
                  <v>2.8292924743465</v>
                </pt>
                <pt idx="21">
                  <v>2.633909090723856</v>
                </pt>
                <pt idx="22">
                  <v>2.468629717816087</v>
                </pt>
                <pt idx="23">
                  <v>2.327221885943601</v>
                </pt>
                <pt idx="24">
                  <v>2.205025842745961</v>
                </pt>
                <pt idx="25">
                  <v>2.098498656302034</v>
                </pt>
                <pt idx="26">
                  <v>2.00490452179061</v>
                </pt>
                <pt idx="27">
                  <v>1.922100770303599</v>
                </pt>
                <pt idx="28">
                  <v>1.848387468832319</v>
                </pt>
                <pt idx="29">
                  <v>1.7823999692649</v>
                </pt>
                <pt idx="30">
                  <v>1.723030944847282</v>
                </pt>
                <pt idx="31">
                  <v>1.669372997066367</v>
                </pt>
                <pt idx="32">
                  <v>1.620675832083254</v>
                </pt>
                <pt idx="33">
                  <v>1.57631390541119</v>
                </pt>
                <pt idx="34">
                  <v>1.535761689892072</v>
                </pt>
                <pt idx="35">
                  <v>1.498574565507952</v>
                </pt>
                <pt idx="36">
                  <v>1.464373904097154</v>
                </pt>
                <pt idx="37">
                  <v>1.43283531882481</v>
                </pt>
                <pt idx="38">
                  <v>1.403679325895262</v>
                </pt>
                <pt idx="39">
                  <v>1.376663862688954</v>
                </pt>
                <pt idx="40">
                  <v>1.351578247499303</v>
                </pt>
                <pt idx="41">
                  <v>1.328238268233323</v>
                </pt>
                <pt idx="42">
                  <v>1.306482162279894</v>
                </pt>
                <pt idx="43">
                  <v>1.286167305102584</v>
                </pt>
                <pt idx="44">
                  <v>1.267167466436158</v>
                </pt>
                <pt idx="45">
                  <v>1.249370524085727</v>
                </pt>
                <pt idx="46">
                  <v>1.232676548959315</v>
                </pt>
                <pt idx="47">
                  <v>1.216996193051727</v>
                </pt>
                <pt idx="48">
                  <v>1.202249326044332</v>
                </pt>
                <pt idx="49">
                  <v>1.188363877015771</v>
                </pt>
                <pt idx="50">
                  <v>1.175274846225598</v>
                </pt>
                <pt idx="51">
                  <v>1.162923458594366</v>
                </pt>
                <pt idx="52">
                  <v>1.151256435776731</v>
                </pt>
                <pt idx="53">
                  <v>1.140225367922199</v>
                </pt>
                <pt idx="54">
                  <v>1.129786169578775</v>
                </pt>
                <pt idx="55">
                  <v>1.119898606899349</v>
                </pt>
                <pt idx="56">
                  <v>1.110525885497958</v>
                </pt>
                <pt idx="57">
                  <v>1.101634290080802</v>
                </pt>
                <pt idx="58">
                  <v>1.093192868428096</v>
                </pt>
                <pt idx="59">
                  <v>1.085173153493024</v>
                </pt>
                <pt idx="60">
                  <v>1.077548918364008</v>
                </pt>
                <pt idx="61">
                  <v>1.070295959646804</v>
                </pt>
                <pt idx="62">
                  <v>1.063391905495497</v>
                </pt>
                <pt idx="63">
                  <v>1.056816045081742</v>
                </pt>
                <pt idx="64">
                  <v>1.050549176760122</v>
                </pt>
                <pt idx="65">
                  <v>1.044573472580506</v>
                </pt>
                <pt idx="66">
                  <v>1.038872357129171</v>
                </pt>
                <pt idx="67">
                  <v>1.033430398959868</v>
                </pt>
                <pt idx="68">
                  <v>1.028233213112657</v>
                </pt>
                <pt idx="69">
                  <v>1.023267373419465</v>
                </pt>
                <pt idx="70">
                  <v>1.018520333466613</v>
                </pt>
                <pt idx="71">
                  <v>1.013980355230958</v>
                </pt>
                <pt idx="72">
                  <v>1.009636444531736</v>
                </pt>
                <pt idx="73">
                  <v>1.005478292547844</v>
                </pt>
                <pt idx="74">
                  <v>1.001496222743117</v>
                </pt>
                <pt idx="75">
                  <v>0.9976811426221771</v>
                </pt>
                <pt idx="76">
                  <v>0.9940244998087008</v>
                </pt>
                <pt idx="77">
                  <v>0.9905182419980365</v>
                </pt>
                <pt idx="78">
                  <v>0.9871547803882815</v>
                </pt>
                <pt idx="79">
                  <v>0.983926956239402</v>
                </pt>
                <pt idx="80">
                  <v>0.9808280102496558</v>
                </pt>
                <pt idx="81">
                  <v>0.9778515544732759</v>
                </pt>
                <pt idx="82">
                  <v>0.9749915465337713</v>
                </pt>
                <pt idx="83">
                  <v>0.9722422659138927</v>
                </pt>
                <pt idx="84">
                  <v>0.9695982921267842</v>
                </pt>
                <pt idx="85">
                  <v>0.9670544845935234</v>
                </pt>
                <pt idx="86">
                  <v>0.9646059640705033</v>
                </pt>
                <pt idx="87">
                  <v>0.96224809548625</v>
                </pt>
                <pt idx="88">
                  <v>0.9599764720615639</v>
                </pt>
                <pt idx="89">
                  <v>0.9577869005995351</v>
                </pt>
                <pt idx="90">
                  <v>0.9556753878432749</v>
                </pt>
                <pt idx="91">
                  <v>0.9536381278091882</v>
                </pt>
                <pt idx="92">
                  <v>0.9516714900125731</v>
                </pt>
                <pt idx="93">
                  <v>0.9497720085102856</v>
                </pt>
                <pt idx="94">
                  <v>0.9479363716923327</v>
                </pt>
                <pt idx="95">
                  <v>0.9461614127606355</v>
                </pt>
                <pt idx="96">
                  <v>0.9444441008389052</v>
                </pt>
                <pt idx="97">
                  <v>0.9427815326627216</v>
                </pt>
                <pt idx="98">
                  <v>0.9411709248034732</v>
                </pt>
                <pt idx="99">
                  <v>0.9396096063840118</v>
                </pt>
                <pt idx="100">
                  <v>0.9380950122475646</v>
                </pt>
                <pt idx="101">
                  <v>0.9366246765448403</v>
                </pt>
                <pt idx="102">
                  <v>0.9351962267073018</v>
                </pt>
              </numCache>
            </numRef>
          </yVal>
          <smooth val="1"/>
        </ser>
        <ser>
          <idx val="5"/>
          <order val="5"/>
          <tx>
            <v>Min.Gain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GainCurve!$H$8:$H$110</f>
              <numCache>
                <formatCode>General</formatCode>
                <ptCount val="103"/>
                <pt idx="0">
                  <v>1.131</v>
                </pt>
                <pt idx="1">
                  <v>1.131</v>
                </pt>
                <pt idx="2">
                  <v>1.131</v>
                </pt>
                <pt idx="3">
                  <v>1.131</v>
                </pt>
                <pt idx="4">
                  <v>1.131</v>
                </pt>
                <pt idx="5">
                  <v>1.131</v>
                </pt>
                <pt idx="6">
                  <v>1.131</v>
                </pt>
                <pt idx="7">
                  <v>1.131</v>
                </pt>
                <pt idx="8">
                  <v>1.131</v>
                </pt>
                <pt idx="9">
                  <v>1.131</v>
                </pt>
                <pt idx="10">
                  <v>1.131</v>
                </pt>
                <pt idx="11">
                  <v>1.131</v>
                </pt>
                <pt idx="12">
                  <v>1.131</v>
                </pt>
                <pt idx="13">
                  <v>1.131</v>
                </pt>
                <pt idx="14">
                  <v>1.131</v>
                </pt>
                <pt idx="15">
                  <v>1.131</v>
                </pt>
                <pt idx="16">
                  <v>1.131</v>
                </pt>
                <pt idx="17">
                  <v>1.131</v>
                </pt>
                <pt idx="18">
                  <v>1.131</v>
                </pt>
                <pt idx="19">
                  <v>1.131</v>
                </pt>
                <pt idx="20">
                  <v>1.131</v>
                </pt>
                <pt idx="21">
                  <v>1.131</v>
                </pt>
                <pt idx="22">
                  <v>1.131</v>
                </pt>
                <pt idx="23">
                  <v>1.131</v>
                </pt>
                <pt idx="24">
                  <v>1.131</v>
                </pt>
                <pt idx="25">
                  <v>1.131</v>
                </pt>
                <pt idx="26">
                  <v>1.131</v>
                </pt>
                <pt idx="27">
                  <v>1.131</v>
                </pt>
                <pt idx="28">
                  <v>1.131</v>
                </pt>
                <pt idx="29">
                  <v>1.131</v>
                </pt>
                <pt idx="30">
                  <v>1.131</v>
                </pt>
                <pt idx="31">
                  <v>1.131</v>
                </pt>
                <pt idx="32">
                  <v>1.131</v>
                </pt>
                <pt idx="33">
                  <v>1.131</v>
                </pt>
                <pt idx="34">
                  <v>1.131</v>
                </pt>
                <pt idx="35">
                  <v>1.131</v>
                </pt>
                <pt idx="36">
                  <v>1.131</v>
                </pt>
                <pt idx="37">
                  <v>1.131</v>
                </pt>
                <pt idx="38">
                  <v>1.131</v>
                </pt>
                <pt idx="39">
                  <v>1.131</v>
                </pt>
                <pt idx="40">
                  <v>1.131</v>
                </pt>
                <pt idx="41">
                  <v>1.131</v>
                </pt>
                <pt idx="42">
                  <v>1.131</v>
                </pt>
                <pt idx="43">
                  <v>1.131</v>
                </pt>
                <pt idx="44">
                  <v>1.131</v>
                </pt>
                <pt idx="45">
                  <v>1.131</v>
                </pt>
                <pt idx="46">
                  <v>1.131</v>
                </pt>
                <pt idx="47">
                  <v>1.131</v>
                </pt>
                <pt idx="48">
                  <v>1.131</v>
                </pt>
                <pt idx="49">
                  <v>1.131</v>
                </pt>
                <pt idx="50">
                  <v>1.131</v>
                </pt>
                <pt idx="51">
                  <v>1.131</v>
                </pt>
                <pt idx="52">
                  <v>1.131</v>
                </pt>
                <pt idx="53">
                  <v>1.131</v>
                </pt>
                <pt idx="54">
                  <v>1.131</v>
                </pt>
                <pt idx="55">
                  <v>1.131</v>
                </pt>
                <pt idx="56">
                  <v>1.131</v>
                </pt>
                <pt idx="57">
                  <v>1.131</v>
                </pt>
                <pt idx="58">
                  <v>1.131</v>
                </pt>
                <pt idx="59">
                  <v>1.131</v>
                </pt>
                <pt idx="60">
                  <v>1.131</v>
                </pt>
                <pt idx="61">
                  <v>1.131</v>
                </pt>
                <pt idx="62">
                  <v>1.131</v>
                </pt>
                <pt idx="63">
                  <v>1.131</v>
                </pt>
                <pt idx="64">
                  <v>1.131</v>
                </pt>
                <pt idx="65">
                  <v>1.131</v>
                </pt>
                <pt idx="66">
                  <v>1.131</v>
                </pt>
                <pt idx="67">
                  <v>1.131</v>
                </pt>
                <pt idx="68">
                  <v>1.131</v>
                </pt>
                <pt idx="69">
                  <v>1.131</v>
                </pt>
                <pt idx="70">
                  <v>1.131</v>
                </pt>
                <pt idx="71">
                  <v>1.131</v>
                </pt>
                <pt idx="72">
                  <v>1.131</v>
                </pt>
                <pt idx="73">
                  <v>1.131</v>
                </pt>
                <pt idx="74">
                  <v>1.131</v>
                </pt>
                <pt idx="75">
                  <v>1.131</v>
                </pt>
                <pt idx="76">
                  <v>1.131</v>
                </pt>
                <pt idx="77">
                  <v>1.131</v>
                </pt>
                <pt idx="78">
                  <v>1.131</v>
                </pt>
                <pt idx="79">
                  <v>1.131</v>
                </pt>
                <pt idx="80">
                  <v>1.131</v>
                </pt>
                <pt idx="81">
                  <v>1.131</v>
                </pt>
                <pt idx="82">
                  <v>1.131</v>
                </pt>
                <pt idx="83">
                  <v>1.131</v>
                </pt>
                <pt idx="84">
                  <v>1.131</v>
                </pt>
                <pt idx="85">
                  <v>1.131</v>
                </pt>
                <pt idx="86">
                  <v>1.131</v>
                </pt>
                <pt idx="87">
                  <v>1.131</v>
                </pt>
                <pt idx="88">
                  <v>1.131</v>
                </pt>
                <pt idx="89">
                  <v>1.131</v>
                </pt>
                <pt idx="90">
                  <v>1.131</v>
                </pt>
                <pt idx="91">
                  <v>1.131</v>
                </pt>
                <pt idx="92">
                  <v>1.131</v>
                </pt>
                <pt idx="93">
                  <v>1.131</v>
                </pt>
                <pt idx="94">
                  <v>1.131</v>
                </pt>
                <pt idx="95">
                  <v>1.131</v>
                </pt>
                <pt idx="96">
                  <v>1.131</v>
                </pt>
                <pt idx="97">
                  <v>1.131</v>
                </pt>
                <pt idx="98">
                  <v>1.131</v>
                </pt>
                <pt idx="99">
                  <v>1.131</v>
                </pt>
                <pt idx="100">
                  <v>1.131</v>
                </pt>
                <pt idx="101">
                  <v>1.131</v>
                </pt>
                <pt idx="102">
                  <v>1.131</v>
                </pt>
              </numCache>
            </numRef>
          </yVal>
          <smooth val="1"/>
        </ser>
        <ser>
          <idx val="6"/>
          <order val="6"/>
          <tx>
            <v>Max.gain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GainCurve!$A$8:$A$110</f>
              <numCache>
                <formatCode>#,##0.00</formatCode>
                <ptCount val="103"/>
                <pt idx="0">
                  <v>33.38516757736937</v>
                </pt>
                <pt idx="1">
                  <v>34.00584418305197</v>
                </pt>
                <pt idx="2">
                  <v>34.63806002836692</v>
                </pt>
                <pt idx="3">
                  <v>35.28202964379609</v>
                </pt>
                <pt idx="4">
                  <v>35.93797154824075</v>
                </pt>
                <pt idx="5">
                  <v>36.60610832317191</v>
                </pt>
                <pt idx="6">
                  <v>37.28666668815904</v>
                </pt>
                <pt idx="7">
                  <v>37.97987757780312</v>
                </pt>
                <pt idx="8">
                  <v>38.6859762200999</v>
                </pt>
                <pt idx="9">
                  <v>39.40520221626011</v>
                </pt>
                <pt idx="10">
                  <v>40.13779962201355</v>
                </pt>
                <pt idx="11">
                  <v>40.88401703042479</v>
                </pt>
                <pt idx="12">
                  <v>41.64410765624854</v>
                </pt>
                <pt idx="13">
                  <v>42.41832942185328</v>
                </pt>
                <pt idx="14">
                  <v>43.20694504474232</v>
                </pt>
                <pt idx="15">
                  <v>44.01022212670203</v>
                </pt>
                <pt idx="16">
                  <v>44.82843324460742</v>
                </pt>
                <pt idx="17">
                  <v>45.66185604291599</v>
                </pt>
                <pt idx="18">
                  <v>46.51077332788107</v>
                </pt>
                <pt idx="19">
                  <v>47.37547316351677</v>
                </pt>
                <pt idx="20">
                  <v>48.25624896934711</v>
                </pt>
                <pt idx="21">
                  <v>49.15339961997232</v>
                </pt>
                <pt idx="22">
                  <v>50.0672295464863</v>
                </pt>
                <pt idx="23">
                  <v>50.99804883977958</v>
                </pt>
                <pt idx="24">
                  <v>51.94617335576272</v>
                </pt>
                <pt idx="25">
                  <v>52.91192482254613</v>
                </pt>
                <pt idx="26">
                  <v>53.89563094961235</v>
                </pt>
                <pt idx="27">
                  <v>54.89762553901806</v>
                </pt>
                <pt idx="28">
                  <v>55.91824859866354</v>
                </pt>
                <pt idx="29">
                  <v>56.95784645766787</v>
                </pt>
                <pt idx="30">
                  <v>58.01677188388918</v>
                </pt>
                <pt idx="31">
                  <v>59.09538420362973</v>
                </pt>
                <pt idx="32">
                  <v>60.19404942356654</v>
                </pt>
                <pt idx="33">
                  <v>61.31314035494876</v>
                </pt>
                <pt idx="34">
                  <v>62.45303674010414</v>
                </pt>
                <pt idx="35">
                  <v>63.61412538129743</v>
                </pt>
                <pt idx="36">
                  <v>64.79680027198438</v>
                </pt>
                <pt idx="37">
                  <v>66.00146273050595</v>
                </pt>
                <pt idx="38">
                  <v>67.22852153626812</v>
                </pt>
                <pt idx="39">
                  <v>68.47839306845343</v>
                </pt>
                <pt idx="40">
                  <v>69.7515014473114</v>
                </pt>
                <pt idx="41">
                  <v>71.04827867807566</v>
                </pt>
                <pt idx="42">
                  <v>72.36916479755681</v>
                </pt>
                <pt idx="43">
                  <v>73.71460802346051</v>
                </pt>
                <pt idx="44">
                  <v>75.08506490648179</v>
                </pt>
                <pt idx="45">
                  <v>76.48100048522674</v>
                </pt>
                <pt idx="46">
                  <v>77.90288844401469</v>
                </pt>
                <pt idx="47">
                  <v>79.35121127361394</v>
                </pt>
                <pt idx="48">
                  <v>80.82646043496591</v>
                </pt>
                <pt idx="49">
                  <v>82.32913652595309</v>
                </pt>
                <pt idx="50">
                  <v>83.85974945126745</v>
                </pt>
                <pt idx="51">
                  <v>85.41881859543697</v>
                </pt>
                <pt idx="52">
                  <v>87.00687299906896</v>
                </pt>
                <pt idx="53">
                  <v>88.62445153836991</v>
                </pt>
                <pt idx="54">
                  <v>90.27210310800302</v>
                </pt>
                <pt idx="55">
                  <v>91.95038680734515</v>
                </pt>
                <pt idx="56">
                  <v>93.65987213020665</v>
                </pt>
                <pt idx="57">
                  <v>95.40113915807829</v>
                </pt>
                <pt idx="58">
                  <v>97.17477875697094</v>
                </pt>
                <pt idx="59">
                  <v>98.98139277791473</v>
                </pt>
                <pt idx="60">
                  <v>100.8215942611859</v>
                </pt>
                <pt idx="61">
                  <v>102.6960076443303</v>
                </pt>
                <pt idx="62">
                  <v>104.6052689740546</v>
                </pt>
                <pt idx="63">
                  <v>106.5500261220566</v>
                </pt>
                <pt idx="64">
                  <v>108.530939004868</v>
                </pt>
                <pt idx="65">
                  <v>110.5486798077852</v>
                </pt>
                <pt idx="66">
                  <v>112.603933212962</v>
                </pt>
                <pt idx="67">
                  <v>114.6973966317441</v>
                </pt>
                <pt idx="68">
                  <v>116.8297804413218</v>
                </pt>
                <pt idx="69">
                  <v>119.0018082257837</v>
                </pt>
                <pt idx="70">
                  <v>121.2142170216508</v>
                </pt>
                <pt idx="71">
                  <v>123.4677575679762</v>
                </pt>
                <pt idx="72">
                  <v>125.7631945610941</v>
                </pt>
                <pt idx="73">
                  <v>128.1013069141048</v>
                </pt>
                <pt idx="74">
                  <v>130.4828880211845</v>
                </pt>
                <pt idx="75">
                  <v>132.9087460268082</v>
                </pt>
                <pt idx="76">
                  <v>135.3797040999787</v>
                </pt>
                <pt idx="77">
                  <v>137.8966007135529</v>
                </pt>
                <pt idx="78">
                  <v>140.4602899287622</v>
                </pt>
                <pt idx="79">
                  <v>143.0716416850215</v>
                </pt>
                <pt idx="80">
                  <v>145.7315420951273</v>
                </pt>
                <pt idx="81">
                  <v>148.4408937459427</v>
                </pt>
                <pt idx="82">
                  <v>151.2006160046735</v>
                </pt>
                <pt idx="83">
                  <v>154.0116453308379</v>
                </pt>
                <pt idx="84">
                  <v>156.8749355940365</v>
                </pt>
                <pt idx="85">
                  <v>159.7914583976298</v>
                </pt>
                <pt idx="86">
                  <v>162.7622034084334</v>
                </pt>
                <pt idx="87">
                  <v>165.7881786925427</v>
                </pt>
                <pt idx="88">
                  <v>168.870411057401</v>
                </pt>
                <pt idx="89">
                  <v>172.0099464002274</v>
                </pt>
                <pt idx="90">
                  <v>175.2078500629219</v>
                </pt>
                <pt idx="91">
                  <v>178.4652071935692</v>
                </pt>
                <pt idx="92">
                  <v>181.7831231146632</v>
                </pt>
                <pt idx="93">
                  <v>185.1627236981772</v>
                </pt>
                <pt idx="94">
                  <v>188.6051557476073</v>
                </pt>
                <pt idx="95">
                  <v>192.1115873871182</v>
                </pt>
                <pt idx="96">
                  <v>195.6832084579245</v>
                </pt>
                <pt idx="97">
                  <v>199.3212309220404</v>
                </pt>
                <pt idx="98">
                  <v>203.0268892735363</v>
                </pt>
                <pt idx="99">
                  <v>206.8014409574408</v>
                </pt>
                <pt idx="100">
                  <v>210.6461667964311</v>
                </pt>
                <pt idx="101">
                  <v>214.5623714254558</v>
                </pt>
                <pt idx="102">
                  <v>218.551383734438</v>
                </pt>
              </numCache>
            </numRef>
          </xVal>
          <yVal>
            <numRef>
              <f>GainCurve!$I$8:$I$110</f>
              <numCache>
                <formatCode>General</formatCode>
                <ptCount val="103"/>
                <pt idx="0">
                  <v>1.49292</v>
                </pt>
                <pt idx="1">
                  <v>1.49292</v>
                </pt>
                <pt idx="2">
                  <v>1.49292</v>
                </pt>
                <pt idx="3">
                  <v>1.49292</v>
                </pt>
                <pt idx="4">
                  <v>1.49292</v>
                </pt>
                <pt idx="5">
                  <v>1.49292</v>
                </pt>
                <pt idx="6">
                  <v>1.49292</v>
                </pt>
                <pt idx="7">
                  <v>1.49292</v>
                </pt>
                <pt idx="8">
                  <v>1.49292</v>
                </pt>
                <pt idx="9">
                  <v>1.49292</v>
                </pt>
                <pt idx="10">
                  <v>1.49292</v>
                </pt>
                <pt idx="11">
                  <v>1.49292</v>
                </pt>
                <pt idx="12">
                  <v>1.49292</v>
                </pt>
                <pt idx="13">
                  <v>1.49292</v>
                </pt>
                <pt idx="14">
                  <v>1.49292</v>
                </pt>
                <pt idx="15">
                  <v>1.49292</v>
                </pt>
                <pt idx="16">
                  <v>1.49292</v>
                </pt>
                <pt idx="17">
                  <v>1.49292</v>
                </pt>
                <pt idx="18">
                  <v>1.49292</v>
                </pt>
                <pt idx="19">
                  <v>1.49292</v>
                </pt>
                <pt idx="20">
                  <v>1.49292</v>
                </pt>
                <pt idx="21">
                  <v>1.49292</v>
                </pt>
                <pt idx="22">
                  <v>1.49292</v>
                </pt>
                <pt idx="23">
                  <v>1.49292</v>
                </pt>
                <pt idx="24">
                  <v>1.49292</v>
                </pt>
                <pt idx="25">
                  <v>1.49292</v>
                </pt>
                <pt idx="26">
                  <v>1.49292</v>
                </pt>
                <pt idx="27">
                  <v>1.49292</v>
                </pt>
                <pt idx="28">
                  <v>1.49292</v>
                </pt>
                <pt idx="29">
                  <v>1.49292</v>
                </pt>
                <pt idx="30">
                  <v>1.49292</v>
                </pt>
                <pt idx="31">
                  <v>1.49292</v>
                </pt>
                <pt idx="32">
                  <v>1.49292</v>
                </pt>
                <pt idx="33">
                  <v>1.49292</v>
                </pt>
                <pt idx="34">
                  <v>1.49292</v>
                </pt>
                <pt idx="35">
                  <v>1.49292</v>
                </pt>
                <pt idx="36">
                  <v>1.49292</v>
                </pt>
                <pt idx="37">
                  <v>1.49292</v>
                </pt>
                <pt idx="38">
                  <v>1.49292</v>
                </pt>
                <pt idx="39">
                  <v>1.49292</v>
                </pt>
                <pt idx="40">
                  <v>1.49292</v>
                </pt>
                <pt idx="41">
                  <v>1.49292</v>
                </pt>
                <pt idx="42">
                  <v>1.49292</v>
                </pt>
                <pt idx="43">
                  <v>1.49292</v>
                </pt>
                <pt idx="44">
                  <v>1.49292</v>
                </pt>
                <pt idx="45">
                  <v>1.49292</v>
                </pt>
                <pt idx="46">
                  <v>1.49292</v>
                </pt>
                <pt idx="47">
                  <v>1.49292</v>
                </pt>
                <pt idx="48">
                  <v>1.49292</v>
                </pt>
                <pt idx="49">
                  <v>1.49292</v>
                </pt>
                <pt idx="50">
                  <v>1.49292</v>
                </pt>
                <pt idx="51">
                  <v>1.49292</v>
                </pt>
                <pt idx="52">
                  <v>1.49292</v>
                </pt>
                <pt idx="53">
                  <v>1.49292</v>
                </pt>
                <pt idx="54">
                  <v>1.49292</v>
                </pt>
                <pt idx="55">
                  <v>1.49292</v>
                </pt>
                <pt idx="56">
                  <v>1.49292</v>
                </pt>
                <pt idx="57">
                  <v>1.49292</v>
                </pt>
                <pt idx="58">
                  <v>1.49292</v>
                </pt>
                <pt idx="59">
                  <v>1.49292</v>
                </pt>
                <pt idx="60">
                  <v>1.49292</v>
                </pt>
                <pt idx="61">
                  <v>1.49292</v>
                </pt>
                <pt idx="62">
                  <v>1.49292</v>
                </pt>
                <pt idx="63">
                  <v>1.49292</v>
                </pt>
                <pt idx="64">
                  <v>1.49292</v>
                </pt>
                <pt idx="65">
                  <v>1.49292</v>
                </pt>
                <pt idx="66">
                  <v>1.49292</v>
                </pt>
                <pt idx="67">
                  <v>1.49292</v>
                </pt>
                <pt idx="68">
                  <v>1.49292</v>
                </pt>
                <pt idx="69">
                  <v>1.49292</v>
                </pt>
                <pt idx="70">
                  <v>1.49292</v>
                </pt>
                <pt idx="71">
                  <v>1.49292</v>
                </pt>
                <pt idx="72">
                  <v>1.49292</v>
                </pt>
                <pt idx="73">
                  <v>1.49292</v>
                </pt>
                <pt idx="74">
                  <v>1.49292</v>
                </pt>
                <pt idx="75">
                  <v>1.49292</v>
                </pt>
                <pt idx="76">
                  <v>1.49292</v>
                </pt>
                <pt idx="77">
                  <v>1.49292</v>
                </pt>
                <pt idx="78">
                  <v>1.49292</v>
                </pt>
                <pt idx="79">
                  <v>1.49292</v>
                </pt>
                <pt idx="80">
                  <v>1.49292</v>
                </pt>
                <pt idx="81">
                  <v>1.49292</v>
                </pt>
                <pt idx="82">
                  <v>1.49292</v>
                </pt>
                <pt idx="83">
                  <v>1.49292</v>
                </pt>
                <pt idx="84">
                  <v>1.49292</v>
                </pt>
                <pt idx="85">
                  <v>1.49292</v>
                </pt>
                <pt idx="86">
                  <v>1.49292</v>
                </pt>
                <pt idx="87">
                  <v>1.49292</v>
                </pt>
                <pt idx="88">
                  <v>1.49292</v>
                </pt>
                <pt idx="89">
                  <v>1.49292</v>
                </pt>
                <pt idx="90">
                  <v>1.49292</v>
                </pt>
                <pt idx="91">
                  <v>1.49292</v>
                </pt>
                <pt idx="92">
                  <v>1.49292</v>
                </pt>
                <pt idx="93">
                  <v>1.49292</v>
                </pt>
                <pt idx="94">
                  <v>1.49292</v>
                </pt>
                <pt idx="95">
                  <v>1.49292</v>
                </pt>
                <pt idx="96">
                  <v>1.49292</v>
                </pt>
                <pt idx="97">
                  <v>1.49292</v>
                </pt>
                <pt idx="98">
                  <v>1.49292</v>
                </pt>
                <pt idx="99">
                  <v>1.49292</v>
                </pt>
                <pt idx="100">
                  <v>1.49292</v>
                </pt>
                <pt idx="101">
                  <v>1.49292</v>
                </pt>
                <pt idx="102">
                  <v>1.49292</v>
                </pt>
              </numCache>
            </numRef>
          </yVal>
          <smooth val="1"/>
        </ser>
        <ser>
          <idx val="7"/>
          <order val="7"/>
          <tx>
            <v>Min. Freq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ysDot"/>
              </a:ln>
            </spPr>
          </dPt>
          <xVal>
            <numRef>
              <f>GainCurve!$L$8:$L$9</f>
              <numCache>
                <formatCode>General</formatCode>
                <ptCount val="2"/>
                <pt idx="0">
                  <v>44.01022212670203</v>
                </pt>
                <pt idx="1">
                  <v>44.01022212670203</v>
                </pt>
              </numCache>
            </numRef>
          </xVal>
          <yVal>
            <numRef>
              <f>GainCurve!$M$8:$M$9</f>
              <numCache>
                <formatCode>General</formatCode>
                <ptCount val="2"/>
                <pt idx="0">
                  <v>0</v>
                </pt>
                <pt idx="1">
                  <v>1.49292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67931264"/>
        <axId val="167937152"/>
      </scatterChart>
      <valAx>
        <axId val="167931264"/>
        <scaling>
          <orientation val="minMax"/>
          <max val="120"/>
          <min val="30"/>
        </scaling>
        <delete val="0"/>
        <axPos val="b"/>
        <majorGridlines>
          <spPr>
            <a:ln xmlns:a="http://schemas.openxmlformats.org/drawingml/2006/main">
              <a:solidFill>
                <a:sysClr val="windowText" lastClr="000000"/>
              </a:solidFill>
              <a:prstDash val="sysDash"/>
            </a:ln>
          </spPr>
        </majorGridlines>
        <minorGridlines/>
        <numFmt formatCode="#,##0_ 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67937152"/>
        <crosses val="autoZero"/>
        <crossBetween val="midCat"/>
        <majorUnit val="10"/>
        <minorUnit val="5"/>
      </valAx>
      <valAx>
        <axId val="167937152"/>
        <scaling>
          <orientation val="minMax"/>
          <max val="1.7"/>
          <min val="0.7000000000000006"/>
        </scaling>
        <delete val="0"/>
        <axPos val="l"/>
        <majorGridlines>
          <spPr>
            <a:ln xmlns:a="http://schemas.openxmlformats.org/drawingml/2006/main">
              <a:prstDash val="sysDash"/>
            </a:ln>
          </spPr>
        </majorGridlines>
        <numFmt formatCode="0.00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/>
            </a:r>
            <a:endParaRPr lang="en-US"/>
          </a:p>
        </txPr>
        <crossAx val="167931264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5992538432695916"/>
          <y val="0.0524177167912491"/>
          <w val="0.2005914921012232"/>
          <h val="0.3759930008748906"/>
        </manualLayout>
      </layout>
      <overlay val="0"/>
      <spPr>
        <a:solidFill xmlns:a="http://schemas.openxmlformats.org/drawingml/2006/main">
          <a:sysClr val="window" lastClr="FFFFFF"/>
        </a:solidFill>
        <a:ln xmlns:a="http://schemas.openxmlformats.org/drawingml/2006/main">
          <a:solidFill>
            <a:sysClr val="windowText" lastClr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ICS_attn_aprox!$C$3</f>
              <strCache>
                <ptCount val="1"/>
                <pt idx="0">
                  <v>K.ATTN.calculate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ICS_attn_aprox!$A$4:$A$12</f>
              <numCache>
                <formatCode>General</formatCode>
                <ptCount val="9"/>
                <pt idx="0">
                  <v>0</v>
                </pt>
                <pt idx="1">
                  <v>0.1</v>
                </pt>
                <pt idx="2">
                  <v>0.2</v>
                </pt>
                <pt idx="3">
                  <v>0.3</v>
                </pt>
                <pt idx="4">
                  <v>0.4</v>
                </pt>
                <pt idx="5">
                  <v>0.5</v>
                </pt>
                <pt idx="6">
                  <v>0.6</v>
                </pt>
                <pt idx="7">
                  <v>0.7</v>
                </pt>
                <pt idx="8">
                  <v>0.8</v>
                </pt>
              </numCache>
            </numRef>
          </xVal>
          <yVal>
            <numRef>
              <f>ICS_attn_aprox!$C$4:$C$12</f>
              <numCache>
                <formatCode>General</formatCode>
                <ptCount val="9"/>
                <pt idx="0">
                  <v>1</v>
                </pt>
                <pt idx="1">
                  <v>0.99647094</v>
                </pt>
                <pt idx="2">
                  <v>0.98596784</v>
                </pt>
                <pt idx="3">
                  <v>0.96530554</v>
                </pt>
                <pt idx="4">
                  <v>0.93276384</v>
                </pt>
                <pt idx="5">
                  <v>0.8880875</v>
                </pt>
                <pt idx="6">
                  <v>0.83248624</v>
                </pt>
                <pt idx="7">
                  <v>0.7686347400000001</v>
                </pt>
                <pt idx="8">
                  <v>0.7006726400000001</v>
                </pt>
              </numCache>
            </numRef>
          </yVal>
          <smooth val="1"/>
        </ser>
        <ser>
          <idx val="1"/>
          <order val="1"/>
          <tx>
            <v>Points</v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noFill/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2"/>
                </a:solidFill>
                <a:prstDash val="sysDot"/>
              </a:ln>
            </spPr>
            <trendlineType val="poly"/>
            <order val="4"/>
            <dispRSqr val="0"/>
            <dispEq val="1"/>
            <trendlineLbl>
              <layout>
                <manualLayout>
                  <wMode val="factor"/>
                  <hMode val="factor"/>
                  <x val="-0.07551873117998018"/>
                  <y val="-0.157127240798218"/>
                </manualLayout>
              </layout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ICS_attn_aprox!$A$4:$A$12</f>
              <numCache>
                <formatCode>General</formatCode>
                <ptCount val="9"/>
                <pt idx="0">
                  <v>0</v>
                </pt>
                <pt idx="1">
                  <v>0.1</v>
                </pt>
                <pt idx="2">
                  <v>0.2</v>
                </pt>
                <pt idx="3">
                  <v>0.3</v>
                </pt>
                <pt idx="4">
                  <v>0.4</v>
                </pt>
                <pt idx="5">
                  <v>0.5</v>
                </pt>
                <pt idx="6">
                  <v>0.6</v>
                </pt>
                <pt idx="7">
                  <v>0.7</v>
                </pt>
                <pt idx="8">
                  <v>0.8</v>
                </pt>
              </numCache>
            </numRef>
          </xVal>
          <yVal>
            <numRef>
              <f>ICS_attn_aprox!$B$4:$B$12</f>
              <numCache>
                <formatCode>General</formatCode>
                <ptCount val="9"/>
                <pt idx="0">
                  <v>1</v>
                </pt>
                <pt idx="1">
                  <v>0.997</v>
                </pt>
                <pt idx="2">
                  <v>0.985</v>
                </pt>
                <pt idx="3">
                  <v>0.965</v>
                </pt>
                <pt idx="4">
                  <v>0.9350000000000001</v>
                </pt>
                <pt idx="5">
                  <v>0.8875</v>
                </pt>
                <pt idx="6">
                  <v>0.83</v>
                </pt>
                <pt idx="7">
                  <v>0.771</v>
                </pt>
                <pt idx="8">
                  <v>0.7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5511424"/>
        <axId val="595511752"/>
      </scatterChart>
      <valAx>
        <axId val="595511424"/>
        <scaling>
          <orientation val="minMax"/>
          <max val="0.8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95511752"/>
        <crosses val="autoZero"/>
        <crossBetween val="midCat"/>
      </valAx>
      <valAx>
        <axId val="595511752"/>
        <scaling>
          <orientation val="minMax"/>
          <max val="1"/>
          <min val="0.7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95511424"/>
        <crosses val="autoZero"/>
        <crossBetween val="midCat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Walter Chiu</author>
  </authors>
  <commentList>
    <comment ref="C38" authorId="0" shapeId="0">
      <text>
        <t>Based on selected m and calculated max. gain, choose Q value with the help of the curve below.</t>
      </text>
    </comment>
    <comment ref="G40" authorId="0" shapeId="0">
      <text>
        <t>This is traditional Q, not the equivalent Q used in AN-6104.</t>
      </text>
    </comment>
    <comment ref="C77" authorId="0" shapeId="0">
      <text>
        <t xml:space="preserve">The suggested minimum frequency from the plot or simulation result may be used as input.
</t>
      </text>
    </comment>
    <comment ref="G78" authorId="0" shapeId="0">
      <text>
        <t>This voltage is affected by actual minimum frequency setting in step 11. Check this number again after step 11.</t>
      </text>
    </comment>
    <comment ref="C111" authorId="0" shapeId="0">
      <text>
        <t>Leave some margin, so it generally results in a lower frequency than the number above.</t>
      </text>
    </comment>
    <comment ref="C124" authorId="0" shapeId="0">
      <text>
        <t xml:space="preserve">Maximum frequency in below-resonant design.
</t>
      </text>
    </comment>
    <comment ref="C125" authorId="0" shapeId="0">
      <text>
        <t>In below-resonant design, this value happens only during transient in skip mode operation. No possible steady-state operation at this frequency. 
In above-resonant design, this value could happen at the boundary of entering PWM mode (light-load). Note that the dead time of PROUTs doubles in PWM mode, so dead time is not a problem in PWM mode.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0</col>
      <colOff>104775</colOff>
      <row>44</row>
      <rowOff>57150</rowOff>
    </from>
    <to>
      <col>4</col>
      <colOff>200025</colOff>
      <row>66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twoCellAnchor>
  <twoCellAnchor>
    <from>
      <col>4</col>
      <colOff>216380</colOff>
      <row>136</row>
      <rowOff>0</rowOff>
    </from>
    <to>
      <col>9</col>
      <colOff>76201</colOff>
      <row>136</row>
      <rowOff>3054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38100</colOff>
      <row>44</row>
      <rowOff>57151</rowOff>
    </from>
    <to>
      <col>9</col>
      <colOff>7620</colOff>
      <row>66</row>
      <rowOff>42673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twoCellAnchor>
  <twoCellAnchor editAs="oneCell">
    <from>
      <col>1</col>
      <colOff>38101</colOff>
      <row>0</row>
      <rowOff>1</rowOff>
    </from>
    <to>
      <col>1</col>
      <colOff>1834148</colOff>
      <row>3</row>
      <rowOff>152400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09551" y="1"/>
          <a:ext cx="1796047" cy="6381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48747</colOff>
      <row>81</row>
      <rowOff>132229</rowOff>
    </from>
    <to>
      <col>10</col>
      <colOff>246530</colOff>
      <row>128</row>
      <rowOff>11766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18</col>
      <colOff>449034</colOff>
      <row>18</row>
      <rowOff>136072</rowOff>
    </from>
    <to>
      <col>30</col>
      <colOff>136070</colOff>
      <row>51</row>
      <rowOff>176893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16</col>
      <colOff>57150</colOff>
      <row>5</row>
      <rowOff>161925</rowOff>
    </from>
    <to>
      <col>24</col>
      <colOff>228600</colOff>
      <row>31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10</col>
      <colOff>457200</colOff>
      <row>2</row>
      <rowOff>133350</rowOff>
    </from>
    <to>
      <col>17</col>
      <colOff>200025</colOff>
      <row>23</row>
      <rowOff>38099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409575</colOff>
      <row>0</row>
      <rowOff>0</rowOff>
    </from>
    <to>
      <col>20</col>
      <colOff>246908</colOff>
      <row>24</row>
      <rowOff>85143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505575" y="0"/>
          <a:ext cx="5933333" cy="46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762000</colOff>
      <row>14</row>
      <rowOff>142875</rowOff>
    </from>
    <to>
      <col>10</col>
      <colOff>94508</colOff>
      <row>39</row>
      <rowOff>37518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62000" y="2809875"/>
          <a:ext cx="5933333" cy="46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tabSelected="1" zoomScaleNormal="100" workbookViewId="0">
      <selection activeCell="C101" sqref="C101"/>
    </sheetView>
  </sheetViews>
  <sheetFormatPr baseColWidth="8" defaultColWidth="9.140625" defaultRowHeight="12.75"/>
  <cols>
    <col width="2.5703125" customWidth="1" style="48" min="1" max="1"/>
    <col width="41.7109375" customWidth="1" style="48" min="2" max="2"/>
    <col width="8.7109375" customWidth="1" style="48" min="3" max="3"/>
    <col width="4.28515625" customWidth="1" style="48" min="4" max="4"/>
    <col width="3.28515625" customWidth="1" style="48" min="5" max="5"/>
    <col width="33.7109375" customWidth="1" style="48" min="6" max="6"/>
    <col width="9.42578125" customWidth="1" style="48" min="7" max="7"/>
    <col width="4.28515625" customWidth="1" style="48" min="8" max="8"/>
    <col width="3.7109375" customWidth="1" style="48" min="9" max="9"/>
    <col width="9.140625" customWidth="1" style="48" min="10" max="10"/>
    <col width="12" bestFit="1" customWidth="1" style="48" min="11" max="11"/>
    <col width="9.5703125" bestFit="1" customWidth="1" style="48" min="12" max="12"/>
    <col width="9.140625" customWidth="1" style="48" min="13" max="16384"/>
  </cols>
  <sheetData>
    <row r="1">
      <c r="C1" s="109" t="inlineStr">
        <is>
          <t>LLC resonant converter design tools for NCP4390/NCV4390/FAN7688</t>
        </is>
      </c>
    </row>
    <row r="2">
      <c r="C2" s="2" t="inlineStr">
        <is>
          <t>Blue cells</t>
        </is>
      </c>
      <c r="D2" s="48" t="inlineStr">
        <is>
          <t>are the input parameters</t>
        </is>
      </c>
      <c r="E2" s="48" t="n"/>
      <c r="F2" s="48" t="n"/>
      <c r="I2" s="4" t="inlineStr">
        <is>
          <t>m</t>
        </is>
      </c>
    </row>
    <row r="3">
      <c r="C3" s="6" t="inlineStr">
        <is>
          <t>Red cells</t>
        </is>
      </c>
      <c r="D3" s="7" t="inlineStr">
        <is>
          <t>are the output parameters</t>
        </is>
      </c>
      <c r="E3" s="7" t="n"/>
      <c r="F3" s="7" t="n"/>
      <c r="G3" s="112" t="n">
        <v>1e-06</v>
      </c>
      <c r="I3" s="4" t="inlineStr">
        <is>
          <t>u</t>
        </is>
      </c>
    </row>
    <row r="4">
      <c r="B4" s="8" t="inlineStr">
        <is>
          <t>V1.6</t>
        </is>
      </c>
      <c r="F4" s="48" t="inlineStr">
        <is>
          <t>Based on AND90061</t>
        </is>
      </c>
      <c r="G4" s="112" t="n">
        <v>1e-09</v>
      </c>
      <c r="I4" s="4" t="inlineStr">
        <is>
          <t>n</t>
        </is>
      </c>
    </row>
    <row r="5">
      <c r="A5" s="9" t="inlineStr">
        <is>
          <t>1. Define the system specifications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12" t="n">
        <v>1e-12</v>
      </c>
    </row>
    <row r="6">
      <c r="B6" s="11" t="inlineStr">
        <is>
          <t>Output voltage</t>
        </is>
      </c>
      <c r="C6" s="70" t="n">
        <v>24</v>
      </c>
      <c r="D6" s="48" t="inlineStr">
        <is>
          <t>V</t>
        </is>
      </c>
      <c r="F6" s="13" t="inlineStr">
        <is>
          <t>Output power</t>
        </is>
      </c>
      <c r="G6" s="14">
        <f>Vo*Io</f>
        <v/>
      </c>
      <c r="H6" s="15" t="inlineStr">
        <is>
          <t>W</t>
        </is>
      </c>
    </row>
    <row r="7">
      <c r="B7" s="11" t="inlineStr">
        <is>
          <t>Output current</t>
        </is>
      </c>
      <c r="C7" s="70" t="n">
        <v>12</v>
      </c>
      <c r="D7" s="48" t="inlineStr">
        <is>
          <t>A</t>
        </is>
      </c>
      <c r="F7" s="13" t="inlineStr">
        <is>
          <t>Input Power</t>
        </is>
      </c>
      <c r="G7" s="113">
        <f>Vo*Io/(Eff/100)</f>
        <v/>
      </c>
      <c r="H7" s="15" t="inlineStr">
        <is>
          <t>W</t>
        </is>
      </c>
    </row>
    <row r="8">
      <c r="B8" s="11" t="inlineStr">
        <is>
          <t>Estimated efficiency</t>
        </is>
      </c>
      <c r="C8" s="70" t="n">
        <v>96</v>
      </c>
      <c r="D8" s="48" t="inlineStr">
        <is>
          <t>%</t>
        </is>
      </c>
      <c r="F8" s="13" t="inlineStr">
        <is>
          <t>Input voltage during holdup time</t>
        </is>
      </c>
      <c r="G8" s="114">
        <f>SQRT(Vin_max^2-2*Pin*Thu*0.001/Cdl/0.000001)</f>
        <v/>
      </c>
      <c r="H8" s="15" t="inlineStr">
        <is>
          <t>V</t>
        </is>
      </c>
    </row>
    <row r="9">
      <c r="B9" s="65" t="inlineStr">
        <is>
          <t>Maximum input voltage</t>
        </is>
      </c>
      <c r="C9" s="66" t="n">
        <v>396</v>
      </c>
      <c r="D9" s="15" t="inlineStr">
        <is>
          <t>V</t>
        </is>
      </c>
      <c r="E9" s="15" t="n"/>
      <c r="F9" s="65" t="inlineStr">
        <is>
          <t>Minimum input voltage for Design</t>
        </is>
      </c>
      <c r="G9" s="115" t="n">
        <v>300</v>
      </c>
      <c r="H9" s="15" t="inlineStr">
        <is>
          <t>V</t>
        </is>
      </c>
    </row>
    <row r="10">
      <c r="B10" s="11" t="inlineStr">
        <is>
          <t>Holdup time requirement</t>
        </is>
      </c>
      <c r="C10" s="70" t="n">
        <v>20</v>
      </c>
      <c r="D10" s="48" t="inlineStr">
        <is>
          <t>ms</t>
        </is>
      </c>
      <c r="F10" s="13" t="n"/>
      <c r="G10" s="44">
        <f>IF(G8&lt;Vin_min, "Error! It should be lower than the input voltage during holdup time","OK")</f>
        <v/>
      </c>
      <c r="H10" s="15" t="n"/>
    </row>
    <row r="11">
      <c r="B11" s="11" t="inlineStr">
        <is>
          <t>Input Bulk capacitor</t>
        </is>
      </c>
      <c r="C11" s="70" t="n">
        <v>330</v>
      </c>
      <c r="D11" s="48" t="inlineStr">
        <is>
          <t>uF</t>
        </is>
      </c>
    </row>
    <row r="13">
      <c r="A13" s="9" t="inlineStr">
        <is>
          <t>2. Determine the maximum and minimum gain of the resonant network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B14" s="11" t="inlineStr">
        <is>
          <t>Ratio between Lp and Lr (m)</t>
        </is>
      </c>
      <c r="C14" s="70" t="n">
        <v>5.69</v>
      </c>
      <c r="H14" s="15" t="n"/>
    </row>
    <row r="16">
      <c r="B16" s="17" t="inlineStr">
        <is>
          <t>:: Lp = primary side inductance with secondary open</t>
        </is>
      </c>
      <c r="C16" s="18" t="n"/>
      <c r="D16" s="19" t="n"/>
    </row>
    <row r="17">
      <c r="B17" s="20" t="inlineStr">
        <is>
          <t>:: Lr = primary side inductance with secondary short</t>
        </is>
      </c>
      <c r="C17" s="21" t="n"/>
      <c r="D17" s="22" t="n"/>
    </row>
    <row r="18">
      <c r="B18" s="92" t="inlineStr">
        <is>
          <t>LLC inverter stage (Half Bridge = 0, Full Bridge = 1)</t>
        </is>
      </c>
      <c r="C18" s="97" t="n">
        <v>0</v>
      </c>
      <c r="D18" s="92" t="n"/>
    </row>
    <row r="19">
      <c r="B19" s="92" t="inlineStr">
        <is>
          <t>LLC rectifier stage (Center Tap = 0, Full Bridge =1)</t>
        </is>
      </c>
      <c r="C19" s="97" t="n">
        <v>0</v>
      </c>
      <c r="D19" s="92" t="n"/>
    </row>
    <row r="20">
      <c r="B20" s="48" t="inlineStr">
        <is>
          <t>Integrated Tx (YES=1, No=0) ?</t>
        </is>
      </c>
      <c r="C20" s="70" t="n">
        <v>1</v>
      </c>
    </row>
    <row r="21">
      <c r="B21" s="13" t="inlineStr">
        <is>
          <t>Gain at the resonant freq</t>
        </is>
      </c>
      <c r="C21" s="116">
        <f>IF(answer,SQRT(mm/(mm-1)),1)</f>
        <v/>
      </c>
    </row>
    <row r="23">
      <c r="B23" s="17" t="inlineStr">
        <is>
          <t xml:space="preserve">The min gain should be same as or a little bit </t>
        </is>
      </c>
      <c r="C23" s="18" t="n"/>
      <c r="D23" s="19" t="n"/>
    </row>
    <row r="24">
      <c r="B24" s="20" t="inlineStr">
        <is>
          <t>higher than the gain at the resonant frequency (fo)</t>
        </is>
      </c>
      <c r="C24" s="21" t="n"/>
      <c r="D24" s="22" t="n"/>
    </row>
    <row r="26">
      <c r="B26" s="11" t="inlineStr">
        <is>
          <t>Min. gain for max input voltage</t>
        </is>
      </c>
      <c r="C26" s="117" t="n">
        <v>1.131</v>
      </c>
    </row>
    <row r="27">
      <c r="B27" s="13" t="inlineStr">
        <is>
          <t>Max. gain for min input voltage</t>
        </is>
      </c>
      <c r="C27" s="116">
        <f>M_min*Vin_max/Vin_min</f>
        <v/>
      </c>
    </row>
    <row r="29">
      <c r="A29" s="9" t="inlineStr">
        <is>
          <t>3. Determine the transformer turns ratio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B30" s="11" t="inlineStr">
        <is>
          <t>Rectifier diode forward voltage drop</t>
        </is>
      </c>
      <c r="C30" s="70" t="n">
        <v>0</v>
      </c>
      <c r="D30" s="48" t="inlineStr">
        <is>
          <t>V</t>
        </is>
      </c>
      <c r="F30" s="13" t="inlineStr">
        <is>
          <t>turns ratio (n=Np/Ns)</t>
        </is>
      </c>
      <c r="G30" s="116">
        <f>IF(BRIDGE, IF(RECTIFIER,Vin_max*M_min/(Vo+2*VF),Vin_max*M_min/(Vo+VF)),IF(RECTIFIER,Vin_max*M_min/(2*(Vo+2*VF)),Vin_max*M_min/(2*(Vo+VF))))</f>
        <v/>
      </c>
    </row>
    <row r="31">
      <c r="F31" s="93">
        <f>35/2</f>
        <v/>
      </c>
    </row>
    <row r="32">
      <c r="A32" s="9" t="inlineStr">
        <is>
          <t>4. Calculate the equivalent load resistance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F33" s="13" t="inlineStr">
        <is>
          <t>Rac</t>
        </is>
      </c>
      <c r="G33" s="118">
        <f>8*nn^2*Vo^2/(PI())^2/Po/C21^2</f>
        <v/>
      </c>
      <c r="H33" s="15" t="inlineStr">
        <is>
          <t>Ω</t>
        </is>
      </c>
    </row>
    <row r="35">
      <c r="A35" s="9" t="inlineStr">
        <is>
          <t>5. Design the resonant network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 ht="13.5" customHeight="1" thickBot="1">
      <c r="B36" s="9" t="inlineStr">
        <is>
          <t>Designed resonant network</t>
        </is>
      </c>
      <c r="F36" s="9" t="inlineStr">
        <is>
          <t>Actual resonant network Design</t>
        </is>
      </c>
    </row>
    <row r="37">
      <c r="B37" s="27" t="inlineStr">
        <is>
          <t>Resonant frequency (fo)</t>
        </is>
      </c>
      <c r="C37" s="69" t="n">
        <v>95</v>
      </c>
      <c r="D37" s="28" t="inlineStr">
        <is>
          <t>kHz</t>
        </is>
      </c>
      <c r="F37" s="100" t="inlineStr">
        <is>
          <t>Cr</t>
        </is>
      </c>
      <c r="G37" s="101" t="n">
        <v>48</v>
      </c>
      <c r="H37" s="102" t="inlineStr">
        <is>
          <t>nF</t>
        </is>
      </c>
    </row>
    <row r="38">
      <c r="B38" s="29" t="inlineStr">
        <is>
          <t>Q factor from the design graph</t>
        </is>
      </c>
      <c r="C38" s="70" t="n">
        <v>0.37</v>
      </c>
      <c r="D38" s="30" t="n"/>
      <c r="F38" s="103" t="inlineStr">
        <is>
          <t>Lr</t>
        </is>
      </c>
      <c r="G38" s="70" t="n">
        <v>58</v>
      </c>
      <c r="H38" s="104" t="inlineStr">
        <is>
          <t>uH</t>
        </is>
      </c>
    </row>
    <row r="39">
      <c r="B39" s="31" t="inlineStr">
        <is>
          <t>Designed Cr</t>
        </is>
      </c>
      <c r="C39" s="113">
        <f>1/(2*PI()*Qd*fod*k*Rac)/n</f>
        <v/>
      </c>
      <c r="D39" s="33" t="inlineStr">
        <is>
          <t>nF</t>
        </is>
      </c>
      <c r="F39" s="103" t="inlineStr">
        <is>
          <t>Lp</t>
        </is>
      </c>
      <c r="G39" s="70" t="n">
        <v>330</v>
      </c>
      <c r="H39" s="104" t="inlineStr">
        <is>
          <t>uH</t>
        </is>
      </c>
    </row>
    <row r="40">
      <c r="B40" s="31" t="inlineStr">
        <is>
          <t>Designed Lr</t>
        </is>
      </c>
      <c r="C40" s="118">
        <f>1/(2*PI()*fod)^2/Crd/n</f>
        <v/>
      </c>
      <c r="D40" s="33" t="inlineStr">
        <is>
          <t>uH</t>
        </is>
      </c>
      <c r="F40" s="105" t="inlineStr">
        <is>
          <t>Q factor</t>
        </is>
      </c>
      <c r="G40" s="116">
        <f>SQRT(Lr*u/Cr/n)/Rac.e</f>
        <v/>
      </c>
      <c r="H40" s="104" t="n"/>
    </row>
    <row r="41">
      <c r="B41" s="36" t="inlineStr">
        <is>
          <t>Designed Lp</t>
        </is>
      </c>
      <c r="C41" s="119">
        <f>mm*Lrd</f>
        <v/>
      </c>
      <c r="D41" s="38" t="inlineStr">
        <is>
          <t>uH</t>
        </is>
      </c>
      <c r="F41" s="105" t="inlineStr">
        <is>
          <t>resonant freq (fo)</t>
        </is>
      </c>
      <c r="G41" s="118">
        <f>1/2/PI()/SQRT(Lr*Cr*n*u)/1000</f>
        <v/>
      </c>
      <c r="H41" s="104" t="inlineStr">
        <is>
          <t>kHz</t>
        </is>
      </c>
    </row>
    <row r="42">
      <c r="B42" s="4" t="inlineStr">
        <is>
          <t>Mv</t>
        </is>
      </c>
      <c r="C42" s="4" t="n"/>
      <c r="F42" s="105" t="inlineStr">
        <is>
          <t>Ratio between Lp and Lr</t>
        </is>
      </c>
      <c r="G42" s="113">
        <f>Lp/Lr</f>
        <v/>
      </c>
      <c r="H42" s="104" t="n"/>
    </row>
    <row r="43">
      <c r="B43" s="4" t="n"/>
      <c r="C43" s="4" t="n"/>
      <c r="F43" s="105" t="inlineStr">
        <is>
          <t>Rac.e</t>
        </is>
      </c>
      <c r="G43" s="118">
        <f>Rac.e</f>
        <v/>
      </c>
      <c r="H43" s="104" t="inlineStr">
        <is>
          <t>Ω</t>
        </is>
      </c>
    </row>
    <row r="44" ht="13.5" customHeight="1" thickBot="1">
      <c r="B44" s="4" t="n"/>
      <c r="C44" s="4" t="n"/>
      <c r="F44" s="106" t="inlineStr">
        <is>
          <t>Suggested min. freq. from plot</t>
        </is>
      </c>
      <c r="G44" s="120">
        <f>f_min.curve</f>
        <v/>
      </c>
      <c r="H44" s="108" t="inlineStr">
        <is>
          <t>kHz</t>
        </is>
      </c>
    </row>
    <row r="53">
      <c r="L53" s="121" t="n"/>
    </row>
    <row r="68">
      <c r="A68" s="9" t="inlineStr">
        <is>
          <t>6. Design the transformer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 ht="14.25" customHeight="1">
      <c r="B69" s="11" t="inlineStr">
        <is>
          <t>Cross sectional area of the core (Ae)</t>
        </is>
      </c>
      <c r="C69" s="71" t="n">
        <v>189.2</v>
      </c>
      <c r="D69" s="11" t="inlineStr">
        <is>
          <t>mm2</t>
        </is>
      </c>
      <c r="F69" s="39" t="inlineStr">
        <is>
          <t>Minimum primary side turns</t>
        </is>
      </c>
      <c r="G69" s="113">
        <f>nn*(Vo+VF)/(4*fo*Bmax*Ae*MC)*1000</f>
        <v/>
      </c>
      <c r="H69" s="15" t="inlineStr">
        <is>
          <t>turns</t>
        </is>
      </c>
    </row>
    <row r="70">
      <c r="B70" s="11" t="inlineStr">
        <is>
          <t>Maximum flux density Bmax</t>
        </is>
      </c>
      <c r="C70" s="71" t="n">
        <v>0.1</v>
      </c>
      <c r="D70" s="11" t="inlineStr">
        <is>
          <t>T</t>
        </is>
      </c>
      <c r="F70" s="39" t="inlineStr">
        <is>
          <t>Primary side turns (Np)</t>
        </is>
      </c>
      <c r="G70" s="118">
        <f>Ns*nn</f>
        <v/>
      </c>
      <c r="H70" s="15" t="inlineStr">
        <is>
          <t>turns</t>
        </is>
      </c>
    </row>
    <row r="71">
      <c r="F71" s="39" t="inlineStr">
        <is>
          <t>RMS current in primary winding</t>
        </is>
      </c>
      <c r="G71" s="40">
        <f>SQRT((PI()*Io/2/SQRT(2)/nn)^2+(nn*(Vo+VF)/4/SQRT(2)/fo/k/Mv/(Lp-Lr)/u)^2)</f>
        <v/>
      </c>
      <c r="H71" s="15" t="inlineStr">
        <is>
          <t>Arms</t>
        </is>
      </c>
    </row>
    <row r="72">
      <c r="B72" s="11" t="inlineStr">
        <is>
          <t>Secondy side turns (Ns)</t>
        </is>
      </c>
      <c r="C72" s="71" t="n">
        <v>3</v>
      </c>
      <c r="D72" s="11" t="inlineStr">
        <is>
          <t>turns</t>
        </is>
      </c>
      <c r="F72" s="39" t="inlineStr">
        <is>
          <t>RMS current in seconadry winding</t>
        </is>
      </c>
      <c r="G72" s="40">
        <f>(PI()*Io/4)</f>
        <v/>
      </c>
      <c r="H72" s="15" t="inlineStr">
        <is>
          <t>Arms</t>
        </is>
      </c>
    </row>
    <row r="74">
      <c r="A74" s="9" t="inlineStr">
        <is>
          <t>7. Select the resonant capacitor (Cr)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B75" s="11" t="inlineStr">
        <is>
          <t>Secondary side OCP level</t>
        </is>
      </c>
      <c r="C75" s="71" t="n">
        <v>13</v>
      </c>
      <c r="D75" s="11" t="inlineStr">
        <is>
          <t>A</t>
        </is>
      </c>
      <c r="F75" s="39" t="inlineStr">
        <is>
          <t>RMS current through Cr</t>
        </is>
      </c>
      <c r="G75" s="116">
        <f>SQRT((PI()*Io/2/SQRT(2)/nn)^2+(nn*(Vo+VF)/4/SQRT(2)/fo/k/Mv/(Lp-Lr)/u)^2)</f>
        <v/>
      </c>
      <c r="H75" s="15" t="inlineStr">
        <is>
          <t>A</t>
        </is>
      </c>
    </row>
    <row r="76">
      <c r="B76" s="48" t="inlineStr">
        <is>
          <t>Switching frequency at Vin.max</t>
        </is>
      </c>
      <c r="C76" s="71" t="n">
        <v>105</v>
      </c>
      <c r="D76" s="11" t="inlineStr">
        <is>
          <t>kHz</t>
        </is>
      </c>
      <c r="F76" s="39" t="inlineStr">
        <is>
          <t>Max voltage of Cr (Vin.max, Io)</t>
        </is>
      </c>
      <c r="G76" s="116">
        <f>IF(BRIDGE,Io/(4*fs_nrm*Np/Ns*Cr)/u,Vin_max/2+Io/(4*fs_nrm*Np/Ns*Cr)/u)</f>
        <v/>
      </c>
      <c r="H76" s="15" t="inlineStr">
        <is>
          <t>V</t>
        </is>
      </c>
    </row>
    <row r="77">
      <c r="B77" s="48" t="inlineStr">
        <is>
          <t>switching frequency at Vin.min</t>
        </is>
      </c>
      <c r="C77" s="71" t="n">
        <v>69.40000000000001</v>
      </c>
      <c r="D77" s="11" t="inlineStr">
        <is>
          <t>kHz</t>
        </is>
      </c>
      <c r="F77" s="39" t="inlineStr">
        <is>
          <t>Max voltage of Cr (Vin.max, Io.ocp)</t>
        </is>
      </c>
      <c r="G77" s="116">
        <f>IF(BRIDGE,Iocp/(4*fs_nrm*Np/Ns*Cr)/u,Vin_max/2+Iocp/(4*fs_nrm*Np/Ns*Cr)/u)</f>
        <v/>
      </c>
      <c r="H77" s="15" t="inlineStr">
        <is>
          <t>V</t>
        </is>
      </c>
    </row>
    <row r="78">
      <c r="B78" s="48" t="inlineStr">
        <is>
          <t>Minimum switching frequency by step 11.</t>
        </is>
      </c>
      <c r="C78" s="74">
        <f>f_min.RFMIN</f>
        <v/>
      </c>
      <c r="D78" s="11" t="inlineStr">
        <is>
          <t>kHz</t>
        </is>
      </c>
      <c r="F78" s="39" t="inlineStr">
        <is>
          <t>Max voltage of Cr (Vin.min, Io.ocp)</t>
        </is>
      </c>
      <c r="G78" s="116">
        <f>IF(BRIDGE,Iocp/(4*f_min.RFMIN*Np/Ns*Cr)/u+Np/Ns*(Vo+VF)/(4*Mv*fo*(Lp-Lr))*(1/2/f_min.RFMIN-1/2/fo)/Cr/n,Vin_min/2+Iocp/(4*f_min.RFMIN*Np/Ns*Cr)/u+Np/Ns*(Vo+VF)/(4*Mv*fo*(Lp-Lr))*(1/2/f_min.RFMIN-1/2/fo)/Cr/n)</f>
        <v/>
      </c>
      <c r="H78" s="15" t="inlineStr">
        <is>
          <t>V</t>
        </is>
      </c>
    </row>
    <row r="80">
      <c r="A80" s="9" t="inlineStr">
        <is>
          <t>8. Rectifier network design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B81" s="17" t="inlineStr">
        <is>
          <t>This design is for center tap transformer rectifier stage</t>
        </is>
      </c>
      <c r="C81" s="18" t="n"/>
      <c r="D81" s="19" t="n"/>
      <c r="F81" s="39" t="inlineStr">
        <is>
          <t>Diode voltage stress</t>
        </is>
      </c>
      <c r="G81" s="113">
        <f>2*(Vo+VF)</f>
        <v/>
      </c>
      <c r="H81" s="15" t="inlineStr">
        <is>
          <t>V</t>
        </is>
      </c>
    </row>
    <row r="82">
      <c r="B82" s="20" t="n"/>
      <c r="C82" s="21" t="n"/>
      <c r="D82" s="22" t="n"/>
      <c r="F82" s="39" t="inlineStr">
        <is>
          <t>RMS current through each diode</t>
        </is>
      </c>
      <c r="G82" s="116">
        <f>PI()/4*Io</f>
        <v/>
      </c>
      <c r="H82" s="15" t="inlineStr">
        <is>
          <t>A</t>
        </is>
      </c>
    </row>
    <row r="83">
      <c r="B83" s="11" t="inlineStr">
        <is>
          <t>Output Capacitor</t>
        </is>
      </c>
      <c r="C83" s="71" t="n">
        <v>4800</v>
      </c>
      <c r="D83" s="15" t="inlineStr">
        <is>
          <t>uF</t>
        </is>
      </c>
      <c r="F83" s="39" t="inlineStr">
        <is>
          <t>RMS current through Co</t>
        </is>
      </c>
      <c r="G83" s="116">
        <f>SQRT((PI()^2-8)/8)*Io</f>
        <v/>
      </c>
      <c r="H83" s="15" t="inlineStr">
        <is>
          <t>A</t>
        </is>
      </c>
    </row>
    <row r="84">
      <c r="B84" s="11" t="inlineStr">
        <is>
          <t>ESR of the output capacitor (Co)</t>
        </is>
      </c>
      <c r="C84" s="71" t="n">
        <v>3.75</v>
      </c>
      <c r="D84" s="15" t="inlineStr">
        <is>
          <t>mΩ</t>
        </is>
      </c>
      <c r="F84" s="39" t="inlineStr">
        <is>
          <t>Output Voltage Ripple</t>
        </is>
      </c>
      <c r="G84" s="116">
        <f>PI()/2*Io*ESR+PI()/2*Io*67/fo/Cout*1000</f>
        <v/>
      </c>
      <c r="H84" s="15" t="inlineStr">
        <is>
          <t>mV</t>
        </is>
      </c>
    </row>
    <row r="86">
      <c r="A86" s="9" t="inlineStr">
        <is>
          <t>9. Current Sensing Circuit Configuration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B87" s="41" t="inlineStr">
        <is>
          <t>Primary side peak current</t>
        </is>
      </c>
      <c r="C87" s="42">
        <f>SQRT(2)*G71</f>
        <v/>
      </c>
      <c r="D87" s="15" t="inlineStr">
        <is>
          <t>A</t>
        </is>
      </c>
    </row>
    <row r="88" ht="15" customHeight="1">
      <c r="B88" s="11" t="inlineStr">
        <is>
          <t>OCP Primary side current</t>
        </is>
      </c>
      <c r="C88" s="71" t="n">
        <v>5</v>
      </c>
      <c r="D88" s="48" t="inlineStr">
        <is>
          <t>A</t>
        </is>
      </c>
      <c r="F88" s="43" t="n"/>
    </row>
    <row r="89">
      <c r="B89" s="44" t="inlineStr">
        <is>
          <t>OLP output current</t>
        </is>
      </c>
      <c r="C89" s="45">
        <f>Iocp</f>
        <v/>
      </c>
      <c r="D89" s="48" t="inlineStr">
        <is>
          <t>A</t>
        </is>
      </c>
    </row>
    <row r="90">
      <c r="B90" s="48" t="inlineStr">
        <is>
          <t>Turns ratio of current transformer (N2/N1)</t>
        </is>
      </c>
      <c r="C90" s="71" t="n">
        <v>44</v>
      </c>
      <c r="D90" s="11" t="n"/>
    </row>
    <row r="91">
      <c r="B91" s="41" t="inlineStr">
        <is>
          <t>Recommended minimum Rcs1+Rcs2</t>
        </is>
      </c>
      <c r="C91" s="46">
        <f>2.4*nct*4*fo*Mv*(Lp-Lr)/(Np/Ns*(Vo+VF))/1000</f>
        <v/>
      </c>
      <c r="D91" s="15" t="inlineStr">
        <is>
          <t>Ω</t>
        </is>
      </c>
    </row>
    <row r="92">
      <c r="B92" s="11" t="inlineStr">
        <is>
          <t>Rcs1+Rcs2 selection</t>
        </is>
      </c>
      <c r="C92" s="71" t="n">
        <v>230</v>
      </c>
      <c r="D92" s="15" t="inlineStr">
        <is>
          <t>Ω</t>
        </is>
      </c>
    </row>
    <row r="93">
      <c r="B93" s="48" t="inlineStr">
        <is>
          <t>Rcs1</t>
        </is>
      </c>
      <c r="C93" s="122">
        <f>3.5*nct/I.PR.ocp</f>
        <v/>
      </c>
      <c r="D93" s="15" t="inlineStr">
        <is>
          <t>Ω</t>
        </is>
      </c>
    </row>
    <row r="94">
      <c r="B94" s="48" t="inlineStr">
        <is>
          <t>Rcs2</t>
        </is>
      </c>
      <c r="C94" s="122">
        <f>C92-C93</f>
        <v/>
      </c>
      <c r="D94" s="15" t="inlineStr">
        <is>
          <t>Ω</t>
        </is>
      </c>
    </row>
    <row r="95">
      <c r="B95" s="41" t="inlineStr">
        <is>
          <t>VCM (should be larger than 2V)</t>
        </is>
      </c>
      <c r="C95" s="42">
        <f>(Np/Ns*(Vo+VF))/(nct*4*fo*Mv*(Lp-Lr))*C92*1000</f>
        <v/>
      </c>
      <c r="D95" s="48" t="inlineStr">
        <is>
          <t>V</t>
        </is>
      </c>
    </row>
    <row r="96">
      <c r="B96" s="11" t="inlineStr">
        <is>
          <t>ICS capacitor (C_ICS)</t>
        </is>
      </c>
      <c r="C96" s="71" t="n">
        <v>1</v>
      </c>
      <c r="D96" s="11" t="inlineStr">
        <is>
          <t>nF</t>
        </is>
      </c>
    </row>
    <row r="97">
      <c r="B97" s="48" t="inlineStr">
        <is>
          <t>Slope compensation Resistor</t>
        </is>
      </c>
      <c r="C97" s="71" t="n">
        <v>10000</v>
      </c>
      <c r="D97" s="15" t="inlineStr">
        <is>
          <t>kΩ</t>
        </is>
      </c>
    </row>
    <row r="98">
      <c r="B98" s="48" t="inlineStr">
        <is>
          <t>VICS attenuation factor for VICS=1.2V</t>
        </is>
      </c>
      <c r="C98" s="98">
        <f>coef4*(1.2/C95)^4+coef3*(1.2/C95)^3+coef2*(1.2/C95)^2+coef1*(1.2/C95)+coef0</f>
        <v/>
      </c>
      <c r="D98" s="15" t="n"/>
    </row>
    <row r="99">
      <c r="B99" s="48" t="inlineStr">
        <is>
          <t>VICS attenuation factor for VICS=1.45V</t>
        </is>
      </c>
      <c r="C99" s="98">
        <f>coef4*(1.45/C95)^4+coef3*(1.45/C95)^3+coef2*(1.45/C95)^2+coef1*(1.45/C95)+coef0</f>
        <v/>
      </c>
      <c r="O99" s="90" t="n"/>
      <c r="P99" s="90" t="n"/>
      <c r="Q99" s="90" t="n"/>
      <c r="R99" s="90" t="n"/>
    </row>
    <row r="100">
      <c r="B100" s="11" t="inlineStr">
        <is>
          <t>Aditional slope on VICS at nominal VIN</t>
        </is>
      </c>
      <c r="C100" s="47">
        <f>5/RSLP/CICS*0.5/fs_nrm*1000</f>
        <v/>
      </c>
      <c r="D100" s="15" t="inlineStr">
        <is>
          <t>V</t>
        </is>
      </c>
      <c r="F100" s="48" t="n"/>
      <c r="O100" s="90" t="n"/>
      <c r="P100" s="90" t="n"/>
      <c r="Q100" s="90" t="n"/>
      <c r="R100" s="90" t="n"/>
    </row>
    <row r="101">
      <c r="B101" s="11" t="inlineStr">
        <is>
          <t>ICS resistor (R_ICS)</t>
        </is>
      </c>
      <c r="C101" s="89">
        <f>L103</f>
        <v/>
      </c>
      <c r="D101" s="15" t="inlineStr">
        <is>
          <t>kΩ</t>
        </is>
      </c>
      <c r="F101" s="88">
        <f>"or try " &amp;  TRUNC(IF(fs_nrm&gt;fo,L101,L102),1) &amp; " kΩ"</f>
        <v/>
      </c>
      <c r="K101" s="93" t="inlineStr">
        <is>
          <t>RICS.Above.resonant</t>
        </is>
      </c>
      <c r="L101" s="93">
        <f>C92/nct/(1.2-VICS.SLP)*Attn1/CICS*(Io.olp*Ns/Np*0.5/fs_nrm)*1000000/1000</f>
        <v/>
      </c>
      <c r="M101" s="93" t="inlineStr">
        <is>
          <t>kΩ</t>
        </is>
      </c>
      <c r="O101" s="90" t="n"/>
      <c r="P101" s="90" t="n"/>
      <c r="Q101" s="90" t="n"/>
      <c r="R101" s="90" t="n"/>
    </row>
    <row r="102">
      <c r="B102" s="11" t="inlineStr">
        <is>
          <t>VICS at VIN_MIN and full load</t>
        </is>
      </c>
      <c r="C102" s="47">
        <f>C92*Pin/nct/C101/CICS/f_min/Vin_min*1000*attn2+VICS.SLP*fs_nrm/f_min</f>
        <v/>
      </c>
      <c r="D102" s="15" t="inlineStr">
        <is>
          <t>V</t>
        </is>
      </c>
      <c r="K102" s="93" t="inlineStr">
        <is>
          <t>RICS.Below.resonant</t>
        </is>
      </c>
      <c r="L102" s="93">
        <f>C92/nct/(1.2-VICS.SLP)*Attn1/CICS*(Io.olp*Ns/Np*0.5/fs_nrm+Np/Ns*(Vo+VF)/4/MC/(Lp-Lr)/fo*(500/fs_nrm-500/fo))*1000000/1000</f>
        <v/>
      </c>
      <c r="M102" s="93" t="inlineStr">
        <is>
          <t>kΩ</t>
        </is>
      </c>
      <c r="O102" s="90" t="n"/>
      <c r="P102" s="90" t="n"/>
      <c r="Q102" s="90" t="n"/>
      <c r="R102" s="90" t="n"/>
    </row>
    <row r="103">
      <c r="K103" s="93" t="inlineStr">
        <is>
          <t>RICS.alternative (walter's recipe)</t>
        </is>
      </c>
      <c r="L103" s="93">
        <f>IF(BRIDGE,(Vo*Io.olp/Eff*100-4*C121*n*Vin_max^2*fs_nrm)*C92/(2*Vin_max*fs_nrm*k*nct*CICS*n*(1.2-VICS.SLP))/k,(Vo*Io.olp/Eff*100-2*C121*n*Vin_max^2*fs_nrm)*C92/(Vin_max*fs_nrm*k*nct*CICS*n*(1.2-VICS.SLP))/k)</f>
        <v/>
      </c>
      <c r="M103" s="93" t="inlineStr">
        <is>
          <t>kΩ</t>
        </is>
      </c>
      <c r="O103" s="90" t="n"/>
      <c r="P103" s="90" t="n"/>
      <c r="Q103" s="90" t="n"/>
      <c r="R103" s="90" t="n"/>
    </row>
    <row r="104">
      <c r="A104" s="9" t="inlineStr">
        <is>
          <t>10. Soft-Start Setting</t>
        </is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O104" s="90" t="n"/>
      <c r="P104" s="90" t="n"/>
      <c r="Q104" s="90" t="n"/>
      <c r="R104" s="90" t="n"/>
    </row>
    <row r="105">
      <c r="B105" s="41" t="inlineStr">
        <is>
          <t>Minimum output voltage rising time</t>
        </is>
      </c>
      <c r="C105" s="42">
        <f>Cout*Vo/(Io.olp-Io)/1000</f>
        <v/>
      </c>
      <c r="D105" s="15" t="inlineStr">
        <is>
          <t>ms</t>
        </is>
      </c>
      <c r="O105" s="90" t="n"/>
      <c r="P105" s="90" t="n"/>
      <c r="Q105" s="90" t="n"/>
      <c r="R105" s="90" t="n"/>
    </row>
    <row r="106" ht="15" customHeight="1">
      <c r="B106" s="11" t="inlineStr">
        <is>
          <t>Soft-start time</t>
        </is>
      </c>
      <c r="C106" s="71" t="n">
        <v>60</v>
      </c>
      <c r="D106" s="48" t="inlineStr">
        <is>
          <t>ms</t>
        </is>
      </c>
      <c r="F106" s="43" t="n"/>
      <c r="O106" s="90" t="n"/>
      <c r="P106" s="90" t="n"/>
      <c r="Q106" s="90" t="n"/>
      <c r="R106" s="90" t="n"/>
    </row>
    <row r="107">
      <c r="B107" s="41" t="inlineStr">
        <is>
          <t>Soft-start capacitor</t>
        </is>
      </c>
      <c r="C107" s="49">
        <f>C106/2.4*40</f>
        <v/>
      </c>
      <c r="D107" s="15" t="inlineStr">
        <is>
          <t>nF</t>
        </is>
      </c>
      <c r="O107" s="90" t="n"/>
      <c r="P107" s="90" t="n"/>
      <c r="Q107" s="90" t="n"/>
      <c r="R107" s="90" t="n"/>
    </row>
    <row r="108">
      <c r="O108" s="90" t="n"/>
      <c r="P108" s="90" t="n"/>
      <c r="Q108" s="90" t="n"/>
      <c r="R108" s="90" t="n"/>
    </row>
    <row r="109">
      <c r="A109" s="9" t="inlineStr">
        <is>
          <t>11. Minimum frequency setting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O109" s="90" t="n"/>
      <c r="P109" s="90" t="n"/>
      <c r="Q109" s="90" t="n"/>
      <c r="R109" s="90" t="n"/>
    </row>
    <row r="110">
      <c r="B110" s="41" t="inlineStr">
        <is>
          <t>Switching frequency at Vin.min</t>
        </is>
      </c>
      <c r="C110" s="42">
        <f>f_min</f>
        <v/>
      </c>
      <c r="D110" s="15" t="inlineStr">
        <is>
          <t>kHz</t>
        </is>
      </c>
      <c r="O110" s="90" t="n"/>
      <c r="P110" s="90" t="n"/>
      <c r="Q110" s="90" t="n"/>
      <c r="R110" s="90" t="n"/>
    </row>
    <row r="111" ht="15" customHeight="1">
      <c r="B111" s="11" t="inlineStr">
        <is>
          <t>Minimum frequency setting</t>
        </is>
      </c>
      <c r="C111" s="71" t="n">
        <v>65</v>
      </c>
      <c r="D111" s="48" t="inlineStr">
        <is>
          <t>kHz</t>
        </is>
      </c>
      <c r="F111" s="43" t="n"/>
      <c r="O111" s="90" t="n"/>
      <c r="P111" s="90" t="n"/>
      <c r="Q111" s="90" t="n"/>
      <c r="R111" s="90" t="n"/>
    </row>
    <row r="112" ht="14.25" customHeight="1">
      <c r="B112" s="41" t="inlineStr">
        <is>
          <t>Min frequency setting resistor (RFMIN)</t>
        </is>
      </c>
      <c r="C112" s="123">
        <f>1000/C111</f>
        <v/>
      </c>
      <c r="D112" s="15" t="inlineStr">
        <is>
          <t>kΩ</t>
        </is>
      </c>
      <c r="O112" s="90" t="n"/>
      <c r="P112" s="90" t="n"/>
      <c r="Q112" s="90" t="n"/>
      <c r="R112" s="90" t="n"/>
    </row>
    <row r="113">
      <c r="O113" s="90" t="n"/>
      <c r="P113" s="90" t="n"/>
      <c r="Q113" s="90" t="n"/>
      <c r="R113" s="90" t="n"/>
    </row>
    <row r="114">
      <c r="A114" s="9" t="inlineStr">
        <is>
          <t>12. PWM mode setting</t>
        </is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K114" s="90" t="n"/>
      <c r="L114" s="90" t="n"/>
      <c r="M114" s="90" t="n"/>
      <c r="N114" s="90" t="n"/>
      <c r="O114" s="90" t="n"/>
      <c r="P114" s="90" t="n"/>
      <c r="Q114" s="90" t="n"/>
      <c r="R114" s="90" t="n"/>
    </row>
    <row r="115" ht="13.5" customHeight="1" thickBot="1">
      <c r="B115" s="11" t="inlineStr">
        <is>
          <t>Vcomp.pwm</t>
        </is>
      </c>
      <c r="C115" s="71" t="n">
        <v>1.48</v>
      </c>
      <c r="D115" s="48" t="inlineStr">
        <is>
          <t>V</t>
        </is>
      </c>
      <c r="K115" s="90" t="n"/>
      <c r="L115" s="90" t="n"/>
      <c r="M115" s="90" t="n"/>
      <c r="N115" s="90" t="n"/>
      <c r="O115" s="90" t="n"/>
      <c r="P115" s="90" t="n"/>
      <c r="Q115" s="90" t="n"/>
      <c r="R115" s="90" t="n"/>
    </row>
    <row r="116" ht="15.75" customHeight="1" thickBot="1">
      <c r="B116" s="41" t="inlineStr">
        <is>
          <t>Estimated frequency at PWM mode</t>
        </is>
      </c>
      <c r="C116" s="124">
        <f>(f_min.RFMIN*2+(3/4)*(5/2)/(CICS*0.000000001*RSLP*1000)/1000)/(VCOMP.PWM-1)</f>
        <v/>
      </c>
      <c r="D116" s="15" t="inlineStr">
        <is>
          <t>kHz</t>
        </is>
      </c>
      <c r="F116" s="43" t="n"/>
      <c r="K116" s="90" t="n"/>
      <c r="L116" s="90" t="n"/>
      <c r="M116" s="90" t="n"/>
      <c r="N116" s="90" t="n"/>
      <c r="O116" s="90" t="n"/>
      <c r="P116" s="90" t="n"/>
      <c r="Q116" s="90" t="n"/>
      <c r="R116" s="90" t="n"/>
    </row>
    <row r="117" ht="15" customHeight="1">
      <c r="B117" s="41" t="inlineStr">
        <is>
          <t>Required RPWM for NCP4390/NCV4390</t>
        </is>
      </c>
      <c r="C117" s="125">
        <f>IF((2/((C115-1)*2/40300-5*0.000001)/1000)&gt;0,(2/((C115-1)*2/40300-5*0.000001)/1000),"N/A")</f>
        <v/>
      </c>
      <c r="D117" s="15" t="inlineStr">
        <is>
          <t>kΩ</t>
        </is>
      </c>
      <c r="F117" s="43" t="n"/>
      <c r="K117" s="90" t="n"/>
      <c r="L117" s="90" t="n"/>
      <c r="M117" s="90" t="n"/>
      <c r="N117" s="90" t="n"/>
      <c r="O117" s="90" t="n"/>
      <c r="P117" s="90" t="n"/>
      <c r="Q117" s="90" t="n"/>
      <c r="R117" s="90" t="n"/>
    </row>
    <row r="118" ht="15" customHeight="1">
      <c r="B118" s="41" t="inlineStr">
        <is>
          <t>Required RPWM for FAN7688</t>
        </is>
      </c>
      <c r="C118" s="125">
        <f>IF((2/((C115-1.45)*2/20150-5*0.000001)/1000)&gt;0,(2/((C115-1.45)*2/20150-5*0.000001)/1000),"N/A")</f>
        <v/>
      </c>
      <c r="D118" s="15" t="inlineStr">
        <is>
          <t>kΩ</t>
        </is>
      </c>
      <c r="F118" s="43" t="n"/>
      <c r="K118" s="90" t="n"/>
      <c r="L118" s="90" t="n"/>
      <c r="M118" s="90" t="n"/>
      <c r="N118" s="90" t="n"/>
      <c r="O118" s="90" t="n"/>
      <c r="P118" s="90" t="n"/>
      <c r="Q118" s="90" t="n"/>
      <c r="R118" s="90" t="n"/>
    </row>
    <row r="119">
      <c r="K119" s="90" t="n"/>
      <c r="L119" s="90" t="n"/>
      <c r="M119" s="90" t="n"/>
      <c r="N119" s="90" t="n"/>
      <c r="O119" s="90" t="n"/>
      <c r="P119" s="90" t="n"/>
      <c r="Q119" s="90" t="n"/>
      <c r="R119" s="90" t="n"/>
    </row>
    <row r="120">
      <c r="A120" s="9" t="inlineStr">
        <is>
          <t>13. Deadtime Setting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K120" s="90" t="n"/>
      <c r="L120" s="90" t="n"/>
      <c r="M120" s="90" t="n"/>
      <c r="N120" s="90" t="n"/>
      <c r="O120" s="90" t="n"/>
      <c r="P120" s="90" t="n"/>
      <c r="Q120" s="90" t="n"/>
      <c r="R120" s="90" t="n"/>
    </row>
    <row r="121">
      <c r="B121" s="48" t="inlineStr">
        <is>
          <t>Effective Coss of primary side MOSFET</t>
        </is>
      </c>
      <c r="C121" s="72" t="n">
        <v>277</v>
      </c>
      <c r="D121" s="48" t="inlineStr">
        <is>
          <t>pF</t>
        </is>
      </c>
      <c r="K121" s="90" t="n"/>
      <c r="L121" s="90" t="n"/>
      <c r="M121" s="90" t="n"/>
      <c r="N121" s="90" t="n"/>
      <c r="O121" s="90" t="n"/>
      <c r="P121" s="90" t="n"/>
      <c r="Q121" s="90" t="n"/>
      <c r="R121" s="90" t="n"/>
    </row>
    <row r="122" ht="15" customHeight="1">
      <c r="B122" s="41" t="inlineStr">
        <is>
          <t>Peak of magnetizing current @ fo</t>
        </is>
      </c>
      <c r="C122" s="42">
        <f>Np/Ns*(Vo+VF)/(Lp-Lr)/4/fo*1000/Mv</f>
        <v/>
      </c>
      <c r="D122" s="48" t="inlineStr">
        <is>
          <t>A</t>
        </is>
      </c>
      <c r="K122" s="90" t="n"/>
      <c r="L122" s="90" t="n"/>
      <c r="M122" s="90" t="n"/>
      <c r="N122" s="90" t="n"/>
      <c r="O122" s="90" t="n"/>
      <c r="P122" s="90" t="n"/>
      <c r="Q122" s="90" t="n"/>
      <c r="R122" s="90" t="n"/>
    </row>
    <row r="123">
      <c r="B123" s="41" t="inlineStr">
        <is>
          <t>Peak of magnetizing current @ Vcomp.pwm</t>
        </is>
      </c>
      <c r="C123" s="42">
        <f>Np/Ns*(Vo+VF)/(Lp-Lr)/4/C116*1000/Mv</f>
        <v/>
      </c>
      <c r="D123" s="48" t="inlineStr">
        <is>
          <t>A</t>
        </is>
      </c>
    </row>
    <row r="124">
      <c r="B124" s="48" t="inlineStr">
        <is>
          <t>minimum dead time in the primary side @ fo</t>
        </is>
      </c>
      <c r="C124" s="49">
        <f>IF(BRIDGE,Vin_max*4*C121/C122/k,Vin_max*2*C121/C122/k)</f>
        <v/>
      </c>
      <c r="D124" s="48" t="inlineStr">
        <is>
          <t>ns</t>
        </is>
      </c>
      <c r="H124" s="126" t="n"/>
      <c r="I124" s="126" t="n"/>
      <c r="J124" s="126" t="n"/>
      <c r="K124" s="126" t="n"/>
      <c r="L124" s="126" t="n"/>
      <c r="M124" s="126" t="n"/>
      <c r="N124" s="126" t="n"/>
      <c r="O124" s="126" t="n"/>
    </row>
    <row r="125">
      <c r="B125" s="48" t="inlineStr">
        <is>
          <t>minimum dead time in the primary side @ Vcomp.pwm</t>
        </is>
      </c>
      <c r="C125" s="49">
        <f>IF(BRIDGE,Vin_max*4*C121/C123/k,Vin_max*2*C121/C123/k)</f>
        <v/>
      </c>
      <c r="D125" s="48" t="inlineStr">
        <is>
          <t>ns</t>
        </is>
      </c>
      <c r="H125" s="126" t="n"/>
      <c r="I125" s="126" t="n"/>
      <c r="J125" s="126" t="n"/>
      <c r="K125" s="126" t="n"/>
      <c r="L125" s="126" t="n"/>
      <c r="M125" s="126" t="n"/>
      <c r="N125" s="126" t="n"/>
      <c r="O125" s="126" t="n"/>
    </row>
    <row r="126">
      <c r="A126" s="52" t="n"/>
      <c r="B126" s="53" t="inlineStr">
        <is>
          <t>CDT</t>
        </is>
      </c>
      <c r="C126" s="72" t="n">
        <v>470</v>
      </c>
      <c r="D126" s="48" t="inlineStr">
        <is>
          <t>pF</t>
        </is>
      </c>
    </row>
    <row r="127">
      <c r="A127" s="52" t="n"/>
      <c r="B127" s="53" t="inlineStr">
        <is>
          <t>RDT</t>
        </is>
      </c>
      <c r="C127" s="72" t="n">
        <v>51</v>
      </c>
      <c r="D127" s="15" t="inlineStr">
        <is>
          <t>kΩ</t>
        </is>
      </c>
    </row>
    <row r="128">
      <c r="A128" s="52" t="n"/>
      <c r="B128" s="41" t="inlineStr">
        <is>
          <t>Primary side MOSFET dead time</t>
        </is>
      </c>
      <c r="C128" s="54">
        <f>ROUND(1/32/25*(R.DT*C.DT*LN(0.15*R.DT-2)-R.DT*C.DT*LN(0.15*R.DT-4))-0.5,0)*25</f>
        <v/>
      </c>
      <c r="D128" s="48" t="inlineStr">
        <is>
          <t>ns</t>
        </is>
      </c>
    </row>
    <row r="129">
      <c r="A129" s="52" t="n"/>
      <c r="B129" s="41" t="inlineStr">
        <is>
          <t>Secondary side SR dead time</t>
        </is>
      </c>
      <c r="C129" s="54">
        <f>ROUND((-R.DT*C.DT*LN(1-3/5)+C.DT*R.DT*LN(1-1/5))/64/25,0)*25</f>
        <v/>
      </c>
      <c r="D129" s="48" t="inlineStr">
        <is>
          <t>ns</t>
        </is>
      </c>
    </row>
    <row r="130">
      <c r="A130" s="52" t="n"/>
    </row>
    <row r="131">
      <c r="A131" s="9" t="inlineStr">
        <is>
          <t>14. SR drain voltage sensing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26" t="n"/>
      <c r="K131" s="126" t="n"/>
      <c r="L131" s="126" t="n"/>
      <c r="M131" s="126" t="n"/>
      <c r="N131" s="126" t="n"/>
      <c r="O131" s="126" t="n"/>
    </row>
    <row r="132" ht="15" customHeight="1">
      <c r="B132" s="48" t="inlineStr">
        <is>
          <t>RDS1</t>
        </is>
      </c>
      <c r="C132" s="72" t="n">
        <v>2.7</v>
      </c>
      <c r="D132" s="15" t="inlineStr">
        <is>
          <t>kΩ</t>
        </is>
      </c>
      <c r="H132" s="126" t="n"/>
      <c r="I132" s="126" t="n"/>
    </row>
    <row r="133">
      <c r="B133" s="41" t="inlineStr">
        <is>
          <t>Minimum RDS2</t>
        </is>
      </c>
      <c r="C133" s="42">
        <f>(2*Vo/4-1)*C132</f>
        <v/>
      </c>
      <c r="D133" s="15" t="inlineStr">
        <is>
          <t>kΩ</t>
        </is>
      </c>
    </row>
    <row r="134">
      <c r="A134" s="52" t="n"/>
      <c r="B134" s="48" t="inlineStr">
        <is>
          <t>RDS2 selection</t>
        </is>
      </c>
      <c r="C134" s="72" t="n">
        <v>30</v>
      </c>
      <c r="D134" s="15" t="inlineStr">
        <is>
          <t>kΩ</t>
        </is>
      </c>
    </row>
    <row r="135">
      <c r="A135" s="52" t="n"/>
      <c r="B135" s="41" t="inlineStr">
        <is>
          <t>Maximum filter capacitor on DS1SR</t>
        </is>
      </c>
      <c r="C135" s="42">
        <f>100/C132/C134*(C132+C134)</f>
        <v/>
      </c>
      <c r="D135" s="15" t="inlineStr">
        <is>
          <t>pF</t>
        </is>
      </c>
      <c r="N135" s="126" t="n"/>
      <c r="O135" s="126" t="n"/>
    </row>
    <row r="136">
      <c r="A136" s="52" t="n"/>
      <c r="H136" s="126" t="n"/>
      <c r="I136" s="126" t="n"/>
      <c r="J136" s="126" t="n"/>
      <c r="K136" s="126" t="n"/>
      <c r="L136" s="126" t="n"/>
      <c r="M136" s="126" t="n"/>
    </row>
    <row r="137">
      <c r="A137" s="52" t="n"/>
      <c r="B137" s="52" t="n"/>
      <c r="C137" s="52" t="n"/>
      <c r="D137" s="52" t="n"/>
      <c r="E137" s="52" t="n"/>
      <c r="F137" s="52" t="n"/>
      <c r="G137" s="52" t="n"/>
    </row>
    <row r="138">
      <c r="A138" s="52" t="n"/>
      <c r="B138" s="52" t="n"/>
      <c r="C138" s="52" t="n"/>
      <c r="D138" s="52" t="n"/>
      <c r="E138" s="52" t="n"/>
      <c r="F138" s="52" t="n"/>
      <c r="G138" s="52" t="n"/>
    </row>
    <row r="139">
      <c r="A139" s="52" t="n"/>
      <c r="B139" s="52" t="n"/>
      <c r="C139" s="52" t="n"/>
      <c r="D139" s="52" t="n"/>
      <c r="E139" s="52" t="n"/>
      <c r="F139" s="52" t="n"/>
      <c r="G139" s="52" t="n"/>
    </row>
    <row r="140">
      <c r="A140" s="52" t="n"/>
      <c r="B140" s="52" t="n"/>
      <c r="C140" s="52" t="n"/>
      <c r="D140" s="52" t="n"/>
      <c r="E140" s="52" t="n"/>
      <c r="F140" s="52" t="n"/>
      <c r="G140" s="52" t="n"/>
    </row>
    <row r="141">
      <c r="A141" s="52" t="n"/>
      <c r="B141" s="52" t="n"/>
      <c r="C141" s="52" t="n"/>
      <c r="D141" s="52" t="n"/>
      <c r="E141" s="52" t="n"/>
      <c r="F141" s="52" t="n"/>
      <c r="G141" s="52" t="n"/>
    </row>
    <row r="142">
      <c r="A142" s="52" t="n"/>
      <c r="B142" s="52" t="n"/>
      <c r="C142" s="52" t="n"/>
      <c r="D142" s="52" t="n"/>
      <c r="E142" s="52" t="n"/>
      <c r="F142" s="52" t="n"/>
      <c r="G142" s="52" t="n"/>
    </row>
    <row r="143">
      <c r="A143" s="52" t="n"/>
      <c r="B143" s="52" t="n"/>
      <c r="C143" s="52" t="n"/>
      <c r="D143" s="52" t="n"/>
      <c r="E143" s="52" t="n"/>
      <c r="F143" s="52" t="n"/>
      <c r="G143" s="52" t="n"/>
    </row>
    <row r="144">
      <c r="A144" s="52" t="n"/>
      <c r="B144" s="52" t="n"/>
      <c r="C144" s="52" t="n"/>
      <c r="D144" s="52" t="n"/>
      <c r="E144" s="52" t="n"/>
      <c r="F144" s="52" t="n"/>
      <c r="G144" s="52" t="n"/>
    </row>
    <row r="145">
      <c r="A145" s="52" t="n"/>
      <c r="B145" s="52" t="n"/>
      <c r="C145" s="52" t="n"/>
      <c r="D145" s="52" t="n"/>
      <c r="E145" s="52" t="n"/>
      <c r="F145" s="52" t="n"/>
      <c r="G145" s="52" t="n"/>
    </row>
    <row r="146">
      <c r="A146" s="52" t="n"/>
      <c r="B146" s="52" t="n"/>
      <c r="C146" s="52" t="n"/>
      <c r="D146" s="52" t="n"/>
      <c r="E146" s="52" t="n"/>
      <c r="F146" s="52" t="n"/>
      <c r="G146" s="52" t="n"/>
    </row>
    <row r="147">
      <c r="A147" s="52" t="n"/>
      <c r="B147" s="52" t="n"/>
      <c r="C147" s="52" t="n"/>
      <c r="D147" s="52" t="n"/>
      <c r="E147" s="52" t="n"/>
      <c r="F147" s="52" t="n"/>
      <c r="G147" s="52" t="n"/>
    </row>
    <row r="148">
      <c r="A148" s="52" t="n"/>
      <c r="B148" s="52" t="n"/>
      <c r="C148" s="52" t="n"/>
      <c r="D148" s="52" t="n"/>
      <c r="E148" s="52" t="n"/>
      <c r="F148" s="52" t="n"/>
      <c r="G148" s="52" t="n"/>
    </row>
    <row r="149">
      <c r="A149" s="52" t="n"/>
      <c r="B149" s="52" t="n"/>
      <c r="C149" s="52" t="n"/>
      <c r="D149" s="52" t="n"/>
      <c r="E149" s="52" t="n"/>
      <c r="F149" s="52" t="n"/>
      <c r="G149" s="52" t="n"/>
    </row>
    <row r="150">
      <c r="A150" s="52" t="n"/>
      <c r="B150" s="52" t="n"/>
      <c r="C150" s="52" t="n"/>
      <c r="D150" s="52" t="n"/>
      <c r="E150" s="52" t="n"/>
      <c r="F150" s="52" t="n"/>
      <c r="G150" s="52" t="n"/>
    </row>
    <row r="151">
      <c r="A151" s="52" t="n"/>
      <c r="B151" s="52" t="n"/>
      <c r="C151" s="52" t="n"/>
      <c r="D151" s="52" t="n"/>
      <c r="E151" s="52" t="n"/>
      <c r="F151" s="52" t="n"/>
      <c r="G151" s="52" t="n"/>
    </row>
    <row r="152">
      <c r="A152" s="52" t="n"/>
      <c r="B152" s="52" t="n"/>
      <c r="C152" s="52" t="n"/>
      <c r="D152" s="52" t="n"/>
      <c r="E152" s="52" t="n"/>
      <c r="F152" s="52" t="n"/>
      <c r="G152" s="52" t="n"/>
    </row>
    <row r="153">
      <c r="A153" s="52" t="n"/>
      <c r="B153" s="52" t="n"/>
      <c r="C153" s="52" t="n"/>
      <c r="D153" s="52" t="n"/>
      <c r="E153" s="52" t="n"/>
      <c r="F153" s="52" t="n"/>
      <c r="G153" s="52" t="n"/>
    </row>
    <row r="154">
      <c r="A154" s="52" t="n"/>
      <c r="B154" s="52" t="n"/>
      <c r="C154" s="52" t="n"/>
      <c r="D154" s="52" t="n"/>
      <c r="E154" s="52" t="n"/>
      <c r="F154" s="52" t="n"/>
      <c r="G154" s="52" t="n"/>
    </row>
    <row r="155">
      <c r="A155" s="52" t="n"/>
      <c r="B155" s="52" t="n"/>
      <c r="C155" s="52" t="n"/>
      <c r="D155" s="52" t="n"/>
      <c r="E155" s="52" t="n"/>
      <c r="F155" s="52" t="n"/>
      <c r="G155" s="52" t="n"/>
    </row>
    <row r="156">
      <c r="A156" s="52" t="n"/>
      <c r="B156" s="52" t="n"/>
      <c r="C156" s="52" t="n"/>
      <c r="D156" s="52" t="n"/>
      <c r="E156" s="52" t="n"/>
      <c r="F156" s="52" t="n"/>
      <c r="G156" s="52" t="n"/>
    </row>
    <row r="157">
      <c r="A157" s="52" t="n"/>
      <c r="B157" s="52" t="n"/>
      <c r="C157" s="52" t="n"/>
      <c r="D157" s="52" t="n"/>
      <c r="E157" s="52" t="n"/>
      <c r="F157" s="52" t="n"/>
      <c r="G157" s="52" t="n"/>
    </row>
    <row r="158">
      <c r="A158" s="52" t="n"/>
      <c r="B158" s="52" t="n"/>
      <c r="C158" s="52" t="n"/>
      <c r="D158" s="52" t="n"/>
      <c r="E158" s="52" t="n"/>
      <c r="F158" s="52" t="n"/>
      <c r="G158" s="52" t="n"/>
    </row>
    <row r="159">
      <c r="A159" s="52" t="n"/>
      <c r="B159" s="52" t="n"/>
      <c r="C159" s="52" t="n"/>
      <c r="D159" s="52" t="n"/>
      <c r="E159" s="52" t="n"/>
      <c r="F159" s="52" t="n"/>
      <c r="G159" s="52" t="n"/>
    </row>
    <row r="160">
      <c r="A160" s="52" t="n"/>
      <c r="B160" s="52" t="n"/>
      <c r="C160" s="52" t="n"/>
      <c r="D160" s="52" t="n"/>
      <c r="E160" s="52" t="n"/>
      <c r="F160" s="52" t="n"/>
      <c r="G160" s="52" t="n"/>
    </row>
    <row r="161">
      <c r="A161" s="52" t="n"/>
      <c r="B161" s="52" t="n"/>
      <c r="C161" s="52" t="n"/>
      <c r="D161" s="52" t="n"/>
      <c r="E161" s="52" t="n"/>
      <c r="F161" s="52" t="n"/>
      <c r="G161" s="52" t="n"/>
    </row>
    <row r="162">
      <c r="A162" s="52" t="n"/>
      <c r="B162" s="52" t="n"/>
      <c r="C162" s="52" t="n"/>
      <c r="D162" s="52" t="n"/>
      <c r="E162" s="52" t="n"/>
      <c r="F162" s="52" t="n"/>
      <c r="G162" s="52" t="n"/>
    </row>
    <row r="163">
      <c r="A163" s="52" t="n"/>
      <c r="B163" s="52" t="n"/>
      <c r="C163" s="52" t="n"/>
      <c r="D163" s="52" t="n"/>
      <c r="E163" s="52" t="n"/>
      <c r="F163" s="52" t="n"/>
      <c r="G163" s="52" t="n"/>
    </row>
    <row r="164">
      <c r="A164" s="52" t="n"/>
      <c r="B164" s="52" t="n"/>
      <c r="C164" s="52" t="n"/>
      <c r="D164" s="52" t="n"/>
      <c r="E164" s="52" t="n"/>
      <c r="F164" s="52" t="n"/>
      <c r="G164" s="52" t="n"/>
    </row>
    <row r="165">
      <c r="A165" s="52" t="n"/>
      <c r="B165" s="52" t="n"/>
      <c r="C165" s="52" t="n"/>
      <c r="D165" s="52" t="n"/>
      <c r="E165" s="52" t="n"/>
      <c r="F165" s="52" t="n"/>
      <c r="G165" s="52" t="n"/>
    </row>
    <row r="166">
      <c r="A166" s="52" t="n"/>
      <c r="B166" s="52" t="n"/>
      <c r="C166" s="52" t="n"/>
      <c r="D166" s="52" t="n"/>
      <c r="E166" s="52" t="n"/>
      <c r="F166" s="52" t="n"/>
      <c r="G166" s="52" t="n"/>
    </row>
    <row r="167">
      <c r="A167" s="52" t="n"/>
      <c r="B167" s="52" t="n"/>
      <c r="C167" s="52" t="n"/>
      <c r="D167" s="52" t="n"/>
      <c r="E167" s="52" t="n"/>
      <c r="F167" s="52" t="n"/>
      <c r="G167" s="52" t="n"/>
    </row>
    <row r="168">
      <c r="A168" s="52" t="n"/>
      <c r="B168" s="52" t="n"/>
      <c r="C168" s="52" t="n"/>
      <c r="D168" s="52" t="n"/>
      <c r="E168" s="52" t="n"/>
      <c r="F168" s="52" t="n"/>
      <c r="G168" s="52" t="n"/>
    </row>
    <row r="171">
      <c r="C171" s="52" t="n"/>
      <c r="D171" s="52" t="n"/>
      <c r="E171" s="52" t="n"/>
      <c r="F171" s="52" t="n"/>
      <c r="G171" s="52" t="n"/>
    </row>
    <row r="173">
      <c r="B173" s="52" t="n"/>
    </row>
  </sheetData>
  <mergeCells count="1">
    <mergeCell ref="C1:J1"/>
  </mergeCells>
  <dataValidations count="3">
    <dataValidation sqref="C111" showErrorMessage="1" showInputMessage="1" allowBlank="0" error="Minimum frequency need to be higher than 39kHz." type="decimal" errorStyle="warning" operator="greaterThan">
      <formula1>39</formula1>
    </dataValidation>
    <dataValidation sqref="C115" showErrorMessage="1" showInputMessage="1" allowBlank="0" errorTitle="Input range" error="This input should be within VCOMP.SKP~VCOMP.CLMP1, which means 1.25~4.4." type="decimal" errorStyle="warning">
      <formula1>1.25</formula1>
      <formula2>4.4</formula2>
    </dataValidation>
    <dataValidation sqref="C18:C19" showErrorMessage="1" showInputMessage="1" allowBlank="0" error="Please input 0 or 1." type="whole">
      <formula1>0</formula1>
      <formula2>1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I110"/>
  <sheetViews>
    <sheetView zoomScale="70" zoomScaleNormal="70" workbookViewId="0">
      <selection activeCell="L35" sqref="L35"/>
    </sheetView>
  </sheetViews>
  <sheetFormatPr baseColWidth="8" defaultRowHeight="15"/>
  <sheetData>
    <row r="2">
      <c r="A2" t="inlineStr">
        <is>
          <t>Integrated Tx</t>
        </is>
      </c>
      <c r="S2" t="inlineStr">
        <is>
          <t>Separated Lr and Tx</t>
        </is>
      </c>
    </row>
    <row r="3">
      <c r="A3" s="55" t="inlineStr">
        <is>
          <t>Q</t>
        </is>
      </c>
      <c r="B3" s="55" t="n"/>
      <c r="C3" s="55" t="n"/>
      <c r="D3" s="55" t="inlineStr">
        <is>
          <t>m=2.5</t>
        </is>
      </c>
      <c r="E3" s="55" t="inlineStr">
        <is>
          <t>m=3</t>
        </is>
      </c>
      <c r="F3" s="55" t="inlineStr">
        <is>
          <t>m=3.5</t>
        </is>
      </c>
      <c r="G3" s="55" t="inlineStr">
        <is>
          <t>m=4</t>
        </is>
      </c>
      <c r="H3" s="55" t="inlineStr">
        <is>
          <t>m=4.5</t>
        </is>
      </c>
      <c r="I3" s="55" t="inlineStr">
        <is>
          <t>m=5</t>
        </is>
      </c>
      <c r="J3" s="55" t="inlineStr">
        <is>
          <t>m=6</t>
        </is>
      </c>
      <c r="K3" s="55" t="inlineStr">
        <is>
          <t>m=7</t>
        </is>
      </c>
      <c r="L3" s="55" t="inlineStr">
        <is>
          <t>m=8</t>
        </is>
      </c>
      <c r="M3" s="55" t="inlineStr">
        <is>
          <t>m=9</t>
        </is>
      </c>
      <c r="N3" s="55" t="inlineStr">
        <is>
          <t>m=10</t>
        </is>
      </c>
      <c r="O3" s="55" t="inlineStr">
        <is>
          <t>m=12</t>
        </is>
      </c>
      <c r="P3" s="55" t="inlineStr">
        <is>
          <t>m=14</t>
        </is>
      </c>
      <c r="Q3" s="55" t="inlineStr">
        <is>
          <t>m=16</t>
        </is>
      </c>
      <c r="S3" s="55" t="inlineStr">
        <is>
          <t>Q</t>
        </is>
      </c>
      <c r="T3" s="55" t="n"/>
      <c r="U3" s="55" t="n"/>
      <c r="V3" s="55" t="inlineStr">
        <is>
          <t>m=2.5</t>
        </is>
      </c>
      <c r="W3" s="55" t="inlineStr">
        <is>
          <t>m=3</t>
        </is>
      </c>
      <c r="X3" s="55" t="inlineStr">
        <is>
          <t>m=3.5</t>
        </is>
      </c>
      <c r="Y3" s="55" t="inlineStr">
        <is>
          <t>m=4</t>
        </is>
      </c>
      <c r="Z3" s="55" t="inlineStr">
        <is>
          <t>m=4.5</t>
        </is>
      </c>
      <c r="AA3" s="55" t="inlineStr">
        <is>
          <t>m=5</t>
        </is>
      </c>
      <c r="AB3" s="55" t="inlineStr">
        <is>
          <t>m=6</t>
        </is>
      </c>
      <c r="AC3" s="55" t="inlineStr">
        <is>
          <t>m=7</t>
        </is>
      </c>
      <c r="AD3" s="55" t="inlineStr">
        <is>
          <t>m=8</t>
        </is>
      </c>
      <c r="AE3" s="55" t="inlineStr">
        <is>
          <t>m=9</t>
        </is>
      </c>
      <c r="AF3" s="55" t="inlineStr">
        <is>
          <t>m=10</t>
        </is>
      </c>
      <c r="AG3" s="55" t="inlineStr">
        <is>
          <t>m=12</t>
        </is>
      </c>
      <c r="AH3" s="55" t="inlineStr">
        <is>
          <t>m=14</t>
        </is>
      </c>
      <c r="AI3" s="55" t="inlineStr">
        <is>
          <t>m=16</t>
        </is>
      </c>
    </row>
    <row r="5">
      <c r="A5" s="56" t="n">
        <v>1.2</v>
      </c>
      <c r="B5" s="56" t="n"/>
      <c r="C5" s="56" t="n"/>
      <c r="D5" s="56" t="n">
        <v>1.373</v>
      </c>
      <c r="E5" s="56" t="n">
        <v>1.279</v>
      </c>
      <c r="F5" s="56" t="n">
        <v>1.221</v>
      </c>
      <c r="G5" s="56" t="n">
        <v>1.183</v>
      </c>
      <c r="H5" s="56" t="n">
        <v>1.156</v>
      </c>
      <c r="I5" s="56" t="n">
        <v>1.135</v>
      </c>
      <c r="J5" s="56" t="n">
        <v>1.107</v>
      </c>
      <c r="K5" s="56" t="n">
        <v>1.088</v>
      </c>
      <c r="L5" s="56" t="n">
        <v>1.075</v>
      </c>
      <c r="M5" s="56" t="n">
        <v>1.065</v>
      </c>
      <c r="N5" s="56" t="n">
        <v>1.058</v>
      </c>
      <c r="O5" s="56" t="n">
        <v>1.047</v>
      </c>
      <c r="P5" s="56" t="n">
        <v>1.04</v>
      </c>
      <c r="Q5" s="56" t="n">
        <v>1.034</v>
      </c>
      <c r="S5" s="56" t="n">
        <v>1.2</v>
      </c>
      <c r="T5" s="56" t="n"/>
      <c r="U5" s="56" t="n"/>
      <c r="V5" s="56" t="n">
        <v>1.064</v>
      </c>
      <c r="W5" s="56" t="n">
        <v>1.044</v>
      </c>
      <c r="X5" s="56" t="n">
        <v>1.032</v>
      </c>
      <c r="Y5" s="56" t="n">
        <v>1.024</v>
      </c>
      <c r="Z5" s="56" t="n">
        <v>1.019</v>
      </c>
      <c r="AA5" s="56" t="n">
        <v>1.015</v>
      </c>
      <c r="AB5" s="56" t="n">
        <v>1.011</v>
      </c>
      <c r="AC5" s="56" t="n">
        <v>1.008</v>
      </c>
      <c r="AD5" s="56" t="n">
        <v>1.006</v>
      </c>
      <c r="AE5" s="56" t="n">
        <v>1.004</v>
      </c>
      <c r="AF5" s="56" t="n">
        <v>1.004</v>
      </c>
      <c r="AG5" s="56" t="n">
        <v>1.003</v>
      </c>
      <c r="AH5" s="56" t="n">
        <v>1.002</v>
      </c>
      <c r="AI5" s="56" t="n">
        <v>1.001</v>
      </c>
    </row>
    <row r="6">
      <c r="A6" s="57" t="n">
        <v>1.1</v>
      </c>
      <c r="B6" s="57" t="n"/>
      <c r="C6" s="57" t="n"/>
      <c r="D6" s="57" t="n">
        <v>1.391</v>
      </c>
      <c r="E6" s="57" t="n">
        <v>1.291</v>
      </c>
      <c r="F6" s="57" t="n">
        <v>1.23</v>
      </c>
      <c r="G6" s="57" t="n">
        <v>1.189</v>
      </c>
      <c r="H6" s="57" t="n">
        <v>1.16</v>
      </c>
      <c r="I6" s="57" t="n">
        <v>1.139</v>
      </c>
      <c r="J6" s="57" t="n">
        <v>1.11</v>
      </c>
      <c r="K6" s="57" t="n">
        <v>1.09</v>
      </c>
      <c r="L6" s="57" t="n">
        <v>1.077</v>
      </c>
      <c r="M6" s="57" t="n">
        <v>1.066</v>
      </c>
      <c r="N6" s="57" t="n">
        <v>1.059</v>
      </c>
      <c r="O6" s="57" t="n">
        <v>1.048</v>
      </c>
      <c r="P6" s="57" t="n">
        <v>1.04</v>
      </c>
      <c r="Q6" s="57" t="n">
        <v>1.035</v>
      </c>
      <c r="S6" s="57" t="n">
        <v>1.1</v>
      </c>
      <c r="T6" s="57" t="n"/>
      <c r="U6" s="57" t="n"/>
      <c r="V6" s="57" t="n">
        <v>1.077</v>
      </c>
      <c r="W6" s="57" t="n">
        <v>1.054</v>
      </c>
      <c r="X6" s="57" t="n">
        <v>1.039</v>
      </c>
      <c r="Y6" s="57" t="n">
        <v>1.03</v>
      </c>
      <c r="Z6" s="57" t="n">
        <v>1.023</v>
      </c>
      <c r="AA6" s="57" t="n">
        <v>1.019</v>
      </c>
      <c r="AB6" s="57" t="n">
        <v>1.013</v>
      </c>
      <c r="AC6" s="57" t="n">
        <v>1.009</v>
      </c>
      <c r="AD6" s="57" t="n">
        <v>1.007</v>
      </c>
      <c r="AE6" s="57" t="n">
        <v>1.006</v>
      </c>
      <c r="AF6" s="57" t="n">
        <v>1.004</v>
      </c>
      <c r="AG6" s="57" t="n">
        <v>1.003</v>
      </c>
      <c r="AH6" s="57" t="n">
        <v>1.002</v>
      </c>
      <c r="AI6" s="57" t="n">
        <v>1.002</v>
      </c>
    </row>
    <row r="7">
      <c r="A7" s="56" t="n">
        <v>1</v>
      </c>
      <c r="B7" s="56" t="n"/>
      <c r="C7" s="56" t="n"/>
      <c r="D7" s="56" t="n">
        <v>1.416</v>
      </c>
      <c r="E7" s="56" t="n">
        <v>1.308</v>
      </c>
      <c r="F7" s="56" t="n">
        <v>1.241</v>
      </c>
      <c r="G7" s="56" t="n">
        <v>1.198</v>
      </c>
      <c r="H7" s="56" t="n">
        <v>1.167</v>
      </c>
      <c r="I7" s="56" t="n">
        <v>1.144</v>
      </c>
      <c r="J7" s="56" t="n">
        <v>1.118</v>
      </c>
      <c r="K7" s="56" t="n">
        <v>1.093</v>
      </c>
      <c r="L7" s="56" t="n">
        <v>1.078</v>
      </c>
      <c r="M7" s="56" t="n">
        <v>1.068</v>
      </c>
      <c r="N7" s="56" t="n">
        <v>1.06</v>
      </c>
      <c r="O7" s="56" t="n">
        <v>1.048</v>
      </c>
      <c r="P7" s="56" t="n">
        <v>1.04</v>
      </c>
      <c r="Q7" s="56" t="n">
        <v>1.035</v>
      </c>
      <c r="S7" s="56" t="n">
        <v>1</v>
      </c>
      <c r="T7" s="56" t="n"/>
      <c r="U7" s="56" t="n"/>
      <c r="V7" s="56" t="n">
        <v>1.097</v>
      </c>
      <c r="W7" s="56" t="n">
        <v>1.068</v>
      </c>
      <c r="X7" s="56" t="n">
        <v>1.049</v>
      </c>
      <c r="Y7" s="56" t="n">
        <v>1.037</v>
      </c>
      <c r="Z7" s="56" t="n">
        <v>1.029</v>
      </c>
      <c r="AA7" s="56" t="n">
        <v>1.023</v>
      </c>
      <c r="AB7" s="56" t="n">
        <v>1.016</v>
      </c>
      <c r="AC7" s="56" t="n">
        <v>1.012</v>
      </c>
      <c r="AD7" s="56" t="n">
        <v>1.009</v>
      </c>
      <c r="AE7" s="56" t="n">
        <v>1.007</v>
      </c>
      <c r="AF7" s="56" t="n">
        <v>1.005</v>
      </c>
      <c r="AG7" s="56" t="n">
        <v>1.004</v>
      </c>
      <c r="AH7" s="56" t="n">
        <v>1.003</v>
      </c>
      <c r="AI7" s="56" t="n">
        <v>1.002</v>
      </c>
    </row>
    <row r="8">
      <c r="A8" s="58" t="n">
        <v>0.9</v>
      </c>
      <c r="B8" s="58" t="n"/>
      <c r="C8" s="58" t="n"/>
      <c r="D8" s="58" t="n">
        <v>1.45</v>
      </c>
      <c r="E8" s="58" t="n">
        <v>1.331</v>
      </c>
      <c r="F8" s="58" t="n">
        <v>1.259</v>
      </c>
      <c r="G8" s="58" t="n">
        <v>1.211</v>
      </c>
      <c r="H8" s="58" t="n">
        <v>1.177</v>
      </c>
      <c r="I8" s="58" t="n">
        <v>1.152</v>
      </c>
      <c r="J8" s="58" t="n">
        <v>1.118</v>
      </c>
      <c r="K8" s="58" t="n">
        <v>1.096</v>
      </c>
      <c r="L8" s="58" t="n">
        <v>1.081</v>
      </c>
      <c r="M8" s="58" t="n">
        <v>1.07</v>
      </c>
      <c r="N8" s="58" t="n">
        <v>1.061</v>
      </c>
      <c r="O8" s="58" t="n">
        <v>1.049</v>
      </c>
      <c r="P8" s="58" t="n">
        <v>1.041</v>
      </c>
      <c r="Q8" s="58" t="n">
        <v>1.035</v>
      </c>
      <c r="S8" s="58" t="n">
        <v>0.9</v>
      </c>
      <c r="T8" s="58" t="n"/>
      <c r="U8" s="58" t="n"/>
      <c r="V8" s="58" t="n">
        <v>1.123</v>
      </c>
      <c r="W8" s="58" t="n">
        <v>1.087</v>
      </c>
      <c r="X8" s="58" t="n">
        <v>1.064</v>
      </c>
      <c r="Y8" s="58" t="n">
        <v>1.048</v>
      </c>
      <c r="Z8" s="58" t="n">
        <v>1.038</v>
      </c>
      <c r="AA8" s="58" t="n">
        <v>1.03</v>
      </c>
      <c r="AB8" s="58" t="n">
        <v>1.02</v>
      </c>
      <c r="AC8" s="58" t="n">
        <v>1.015</v>
      </c>
      <c r="AD8" s="58" t="n">
        <v>1.011</v>
      </c>
      <c r="AE8" s="58" t="n">
        <v>1.009</v>
      </c>
      <c r="AF8" s="58" t="n">
        <v>1.007</v>
      </c>
      <c r="AG8" s="58" t="n">
        <v>1.005</v>
      </c>
      <c r="AH8" s="58" t="n">
        <v>1.003</v>
      </c>
      <c r="AI8" s="58" t="n">
        <v>1.002</v>
      </c>
    </row>
    <row r="9">
      <c r="A9" s="56" t="n">
        <v>0.8</v>
      </c>
      <c r="B9" s="56" t="n"/>
      <c r="C9" s="56" t="n"/>
      <c r="D9" s="56" t="n">
        <v>1.502</v>
      </c>
      <c r="E9" s="56" t="n">
        <v>1.368</v>
      </c>
      <c r="F9" s="56" t="n">
        <v>1.285</v>
      </c>
      <c r="G9" s="56" t="n">
        <v>1.23</v>
      </c>
      <c r="H9" s="56" t="n">
        <v>1.192</v>
      </c>
      <c r="I9" s="56" t="n">
        <v>1.163</v>
      </c>
      <c r="J9" s="56" t="n">
        <v>1.125</v>
      </c>
      <c r="K9" s="56" t="n">
        <v>1.101</v>
      </c>
      <c r="L9" s="56" t="n">
        <v>1.085</v>
      </c>
      <c r="M9" s="56" t="n">
        <v>1.073</v>
      </c>
      <c r="N9" s="56" t="n">
        <v>1.064</v>
      </c>
      <c r="O9" s="56" t="n">
        <v>1.051</v>
      </c>
      <c r="P9" s="56" t="n">
        <v>1.042</v>
      </c>
      <c r="Q9" s="56" t="n">
        <v>1.036</v>
      </c>
      <c r="S9" s="56" t="n">
        <v>0.8</v>
      </c>
      <c r="T9" s="56" t="n"/>
      <c r="U9" s="56" t="n"/>
      <c r="V9" s="56" t="n">
        <v>1.163</v>
      </c>
      <c r="W9" s="56" t="n">
        <v>1.117</v>
      </c>
      <c r="X9" s="56" t="n">
        <v>1.086</v>
      </c>
      <c r="Y9" s="56" t="n">
        <v>1.065</v>
      </c>
      <c r="Z9" s="56" t="n">
        <v>1.051</v>
      </c>
      <c r="AA9" s="56" t="n">
        <v>1.041</v>
      </c>
      <c r="AB9" s="56" t="n">
        <v>1.027</v>
      </c>
      <c r="AC9" s="56" t="n">
        <v>1.02</v>
      </c>
      <c r="AD9" s="56" t="n">
        <v>1.015</v>
      </c>
      <c r="AE9" s="56" t="n">
        <v>1.011</v>
      </c>
      <c r="AF9" s="56" t="n">
        <v>1.009</v>
      </c>
      <c r="AG9" s="56" t="n">
        <v>1.006</v>
      </c>
      <c r="AH9" s="56" t="n">
        <v>1.004</v>
      </c>
      <c r="AI9" s="56" t="n">
        <v>1.003</v>
      </c>
    </row>
    <row r="10">
      <c r="A10" s="58" t="n">
        <v>0.7</v>
      </c>
      <c r="B10" s="58" t="n"/>
      <c r="C10" s="58" t="n"/>
      <c r="D10" s="58" t="n">
        <v>1.582</v>
      </c>
      <c r="E10" s="58" t="n">
        <v>1.426</v>
      </c>
      <c r="F10" s="58" t="n">
        <v>1.328</v>
      </c>
      <c r="G10" s="58" t="n">
        <v>1.263</v>
      </c>
      <c r="H10" s="58" t="n">
        <v>1.217</v>
      </c>
      <c r="I10" s="58" t="n">
        <v>1.183</v>
      </c>
      <c r="J10" s="58" t="n">
        <v>1.138</v>
      </c>
      <c r="K10" s="58" t="n">
        <v>1.11</v>
      </c>
      <c r="L10" s="58" t="n">
        <v>1.091</v>
      </c>
      <c r="M10" s="58" t="n">
        <v>1.077</v>
      </c>
      <c r="N10" s="58" t="n">
        <v>1.067</v>
      </c>
      <c r="O10" s="58" t="n">
        <v>1.053</v>
      </c>
      <c r="P10" s="56" t="n">
        <v>1.044</v>
      </c>
      <c r="Q10" s="56" t="n">
        <v>1.037</v>
      </c>
      <c r="S10" s="58" t="n">
        <v>0.7</v>
      </c>
      <c r="T10" s="58" t="n"/>
      <c r="U10" s="58" t="n"/>
      <c r="V10" s="58" t="n">
        <v>1.225</v>
      </c>
      <c r="W10" s="58" t="n">
        <v>1.164</v>
      </c>
      <c r="X10" s="58" t="n">
        <v>1.123</v>
      </c>
      <c r="Y10" s="58" t="n">
        <v>1.094</v>
      </c>
      <c r="Z10" s="58" t="n">
        <v>1.073</v>
      </c>
      <c r="AA10" s="58" t="n">
        <v>1.058</v>
      </c>
      <c r="AB10" s="58" t="n">
        <v>1.039</v>
      </c>
      <c r="AC10" s="58" t="n">
        <v>1.028</v>
      </c>
      <c r="AD10" s="58" t="n">
        <v>1.02</v>
      </c>
      <c r="AE10" s="58" t="n">
        <v>1.016</v>
      </c>
      <c r="AF10" s="58" t="n">
        <v>1.012</v>
      </c>
      <c r="AG10" s="58" t="n">
        <v>1.008</v>
      </c>
      <c r="AH10" s="58" t="n">
        <v>1.006</v>
      </c>
      <c r="AI10" s="56" t="n">
        <v>1.005</v>
      </c>
    </row>
    <row r="11">
      <c r="A11" s="56" t="n">
        <v>0.6</v>
      </c>
      <c r="B11" s="56" t="n"/>
      <c r="C11" s="56" t="n"/>
      <c r="D11" s="56" t="n">
        <v>1.707</v>
      </c>
      <c r="E11" s="56" t="n">
        <v>1.523</v>
      </c>
      <c r="F11" s="56" t="n">
        <v>1.404</v>
      </c>
      <c r="G11" s="56" t="n">
        <v>1.322</v>
      </c>
      <c r="H11" s="56" t="n">
        <v>1.263</v>
      </c>
      <c r="I11" s="56" t="n">
        <v>1.22</v>
      </c>
      <c r="J11" s="56" t="n">
        <v>1.162</v>
      </c>
      <c r="K11" s="56" t="n">
        <v>1.126</v>
      </c>
      <c r="L11" s="56" t="n">
        <v>1.102</v>
      </c>
      <c r="M11" s="56" t="n">
        <v>1.086</v>
      </c>
      <c r="N11" s="56" t="n">
        <v>1.074</v>
      </c>
      <c r="O11" s="56" t="n">
        <v>1.057</v>
      </c>
      <c r="P11" s="56" t="n">
        <v>1.047</v>
      </c>
      <c r="Q11" s="56" t="n">
        <v>1.039</v>
      </c>
      <c r="S11" s="56" t="n">
        <v>0.6</v>
      </c>
      <c r="T11" s="56" t="n"/>
      <c r="U11" s="56" t="n"/>
      <c r="V11" s="56" t="n">
        <v>1.322</v>
      </c>
      <c r="W11" s="56" t="n">
        <v>1.243</v>
      </c>
      <c r="X11" s="56" t="n">
        <v>1.186</v>
      </c>
      <c r="Y11" s="56" t="n">
        <v>1.145</v>
      </c>
      <c r="Z11" s="56" t="n">
        <v>1.114</v>
      </c>
      <c r="AA11" s="56" t="n">
        <v>1.091</v>
      </c>
      <c r="AB11" s="56" t="n">
        <v>1.061</v>
      </c>
      <c r="AC11" s="56" t="n">
        <v>1.042</v>
      </c>
      <c r="AD11" s="56" t="n">
        <v>1.031</v>
      </c>
      <c r="AE11" s="56" t="n">
        <v>1.024</v>
      </c>
      <c r="AF11" s="56" t="n">
        <v>1.019</v>
      </c>
      <c r="AG11" s="56" t="n">
        <v>1.012</v>
      </c>
      <c r="AH11" s="56" t="n">
        <v>1.008</v>
      </c>
      <c r="AI11" s="56" t="n">
        <v>1.006</v>
      </c>
    </row>
    <row r="12">
      <c r="A12" s="58" t="n">
        <v>0.5</v>
      </c>
      <c r="B12" s="58" t="n"/>
      <c r="C12" s="58" t="n"/>
      <c r="D12" s="58" t="n">
        <v>1.912</v>
      </c>
      <c r="E12" s="58" t="n">
        <v>1.688</v>
      </c>
      <c r="F12" s="58" t="n">
        <v>1.54</v>
      </c>
      <c r="G12" s="58" t="n">
        <v>1.435</v>
      </c>
      <c r="H12" s="58" t="n">
        <v>1.358</v>
      </c>
      <c r="I12" s="58" t="n">
        <v>1.298</v>
      </c>
      <c r="J12" s="58" t="n">
        <v>1.216</v>
      </c>
      <c r="K12" s="58" t="n">
        <v>1.163</v>
      </c>
      <c r="L12" s="58" t="n">
        <v>1.128</v>
      </c>
      <c r="M12" s="58" t="n">
        <v>1.104</v>
      </c>
      <c r="N12" s="58" t="n">
        <v>1.088</v>
      </c>
      <c r="O12" s="58" t="n">
        <v>1.066</v>
      </c>
      <c r="P12" s="56" t="n">
        <v>1.052</v>
      </c>
      <c r="Q12" s="56" t="n">
        <v>1.043</v>
      </c>
      <c r="S12" s="58" t="n">
        <v>0.5</v>
      </c>
      <c r="T12" s="58" t="n"/>
      <c r="U12" s="58" t="n"/>
      <c r="V12" s="58" t="n">
        <v>1.481</v>
      </c>
      <c r="W12" s="58" t="n">
        <v>1.378</v>
      </c>
      <c r="X12" s="58" t="n">
        <v>1.301</v>
      </c>
      <c r="Y12" s="58" t="n">
        <v>1.243</v>
      </c>
      <c r="Z12" s="58" t="n">
        <v>1.197</v>
      </c>
      <c r="AA12" s="58" t="n">
        <v>1.161</v>
      </c>
      <c r="AB12" s="58" t="n">
        <v>1.1</v>
      </c>
      <c r="AC12" s="58" t="n">
        <v>1.077</v>
      </c>
      <c r="AD12" s="58" t="n">
        <v>1.055</v>
      </c>
      <c r="AE12" s="58" t="n">
        <v>1.041</v>
      </c>
      <c r="AF12" s="58" t="n">
        <v>1.032</v>
      </c>
      <c r="AG12" s="58" t="n">
        <v>1.02</v>
      </c>
      <c r="AH12" s="58" t="n">
        <v>1.01</v>
      </c>
      <c r="AI12" s="56" t="n">
        <v>1.01</v>
      </c>
    </row>
    <row r="13">
      <c r="A13" s="56" t="n">
        <v>0.4</v>
      </c>
      <c r="B13" s="56" t="n"/>
      <c r="C13" s="56" t="n"/>
      <c r="D13" s="56" t="n">
        <v>2.256</v>
      </c>
      <c r="E13" s="56" t="n">
        <v>1.976</v>
      </c>
      <c r="F13" s="56" t="n">
        <v>1.788</v>
      </c>
      <c r="G13" s="56" t="n">
        <v>1.652</v>
      </c>
      <c r="H13" s="56" t="n">
        <v>1.548</v>
      </c>
      <c r="I13" s="56" t="n">
        <v>1.467</v>
      </c>
      <c r="J13" s="56" t="n">
        <v>1.348</v>
      </c>
      <c r="K13" s="56" t="n">
        <v>1.265</v>
      </c>
      <c r="L13" s="56" t="n">
        <v>1.206</v>
      </c>
      <c r="M13" s="56" t="n">
        <v>1.163</v>
      </c>
      <c r="N13" s="56" t="n">
        <v>1.131</v>
      </c>
      <c r="O13" s="56" t="n">
        <v>1.091</v>
      </c>
      <c r="P13" s="56" t="n">
        <v>1.068</v>
      </c>
      <c r="Q13" s="56" t="n">
        <v>1.054</v>
      </c>
      <c r="S13" s="56" t="n">
        <v>0.4</v>
      </c>
      <c r="T13" s="56" t="n"/>
      <c r="U13" s="56" t="n"/>
      <c r="V13" s="56" t="n">
        <v>1.748</v>
      </c>
      <c r="W13" s="56" t="n">
        <v>1.614</v>
      </c>
      <c r="X13" s="56" t="n">
        <v>1.511</v>
      </c>
      <c r="Y13" s="56" t="n">
        <v>1.431</v>
      </c>
      <c r="Z13" s="56" t="n">
        <v>1.366</v>
      </c>
      <c r="AA13" s="56" t="n">
        <v>1.312</v>
      </c>
      <c r="AB13" s="56" t="n">
        <v>1.23</v>
      </c>
      <c r="AC13" s="56" t="n">
        <v>1.171</v>
      </c>
      <c r="AD13" s="56" t="n">
        <v>1.128</v>
      </c>
      <c r="AE13" s="56" t="n">
        <v>1.096</v>
      </c>
      <c r="AF13" s="56" t="n">
        <v>1.073</v>
      </c>
      <c r="AG13" s="56" t="n">
        <v>1.044</v>
      </c>
      <c r="AH13" s="56" t="n">
        <v>1.029</v>
      </c>
      <c r="AI13" s="56" t="n">
        <v>1.02</v>
      </c>
    </row>
    <row r="14">
      <c r="A14" s="58" t="n">
        <v>0.3</v>
      </c>
      <c r="B14" s="58" t="n"/>
      <c r="C14" s="58" t="n"/>
      <c r="D14" s="58" t="n">
        <v>2.876</v>
      </c>
      <c r="E14" s="58" t="n">
        <v>2.507</v>
      </c>
      <c r="F14" s="58" t="n">
        <v>2.256</v>
      </c>
      <c r="G14" s="58" t="n">
        <v>2.071</v>
      </c>
      <c r="H14" s="58" t="n">
        <v>1.93</v>
      </c>
      <c r="I14" s="58" t="n">
        <v>1.816</v>
      </c>
      <c r="J14" s="58" t="n">
        <v>1.646</v>
      </c>
      <c r="K14" s="58" t="n">
        <v>1.523</v>
      </c>
      <c r="L14" s="58" t="n">
        <v>1.43</v>
      </c>
      <c r="M14" s="58" t="n">
        <v>1.357</v>
      </c>
      <c r="N14" s="58" t="n">
        <v>1.299</v>
      </c>
      <c r="O14" s="58" t="n">
        <v>1.212</v>
      </c>
      <c r="P14" s="56" t="n">
        <v>1.152</v>
      </c>
      <c r="Q14" s="56" t="n">
        <v>1.11</v>
      </c>
      <c r="S14" s="58" t="n">
        <v>0.3</v>
      </c>
      <c r="T14" s="58" t="n"/>
      <c r="U14" s="58" t="n"/>
      <c r="V14" s="58" t="n">
        <v>2.228</v>
      </c>
      <c r="W14" s="58" t="n">
        <v>2.047</v>
      </c>
      <c r="X14" s="58" t="n">
        <v>1.906</v>
      </c>
      <c r="Y14" s="58" t="n">
        <v>1.794</v>
      </c>
      <c r="Z14" s="58" t="n">
        <v>1.702</v>
      </c>
      <c r="AA14" s="58" t="n">
        <v>1.624</v>
      </c>
      <c r="AB14" s="58" t="n">
        <v>1.503</v>
      </c>
      <c r="AC14" s="58" t="n">
        <v>1.41</v>
      </c>
      <c r="AD14" s="58" t="n">
        <v>1.338</v>
      </c>
      <c r="AE14" s="58" t="n">
        <v>1.279</v>
      </c>
      <c r="AF14" s="58" t="n">
        <v>1.232</v>
      </c>
      <c r="AG14" s="58" t="n">
        <v>1.16</v>
      </c>
      <c r="AH14" s="58" t="n">
        <v>1.11</v>
      </c>
      <c r="AI14" s="56" t="n">
        <v>1.075</v>
      </c>
    </row>
    <row r="15">
      <c r="A15" s="56" t="n">
        <v>0.2</v>
      </c>
      <c r="B15" s="56" t="n"/>
      <c r="C15" s="56" t="n"/>
      <c r="D15" s="56" t="n">
        <v>4.183</v>
      </c>
      <c r="E15" s="56" t="n">
        <v>3.629</v>
      </c>
      <c r="F15" s="56" t="n">
        <v>3.255</v>
      </c>
      <c r="G15" s="56" t="n">
        <v>2.977</v>
      </c>
      <c r="H15" s="56" t="n">
        <v>2.766</v>
      </c>
      <c r="I15" s="56" t="n">
        <v>2.594</v>
      </c>
      <c r="J15" s="56" t="n">
        <v>2.332</v>
      </c>
      <c r="K15" s="56" t="n">
        <v>2.14</v>
      </c>
      <c r="L15" s="56" t="n">
        <v>1.993</v>
      </c>
      <c r="M15" s="56" t="n">
        <v>1.874</v>
      </c>
      <c r="N15" s="56" t="n">
        <v>1.777</v>
      </c>
      <c r="O15" s="56" t="n">
        <v>1.626</v>
      </c>
      <c r="P15" s="56" t="n">
        <v>1.513</v>
      </c>
      <c r="Q15" s="56" t="n">
        <v>1.426</v>
      </c>
      <c r="S15" s="56" t="n">
        <v>0.2</v>
      </c>
      <c r="T15" s="56" t="n"/>
      <c r="U15" s="56" t="n"/>
      <c r="V15" s="56" t="n">
        <v>3.24</v>
      </c>
      <c r="W15" s="56" t="n">
        <v>2.963</v>
      </c>
      <c r="X15" s="56" t="n">
        <v>2.751</v>
      </c>
      <c r="Y15" s="56" t="n">
        <v>2.578</v>
      </c>
      <c r="Z15" s="56" t="n">
        <v>2.439</v>
      </c>
      <c r="AA15" s="56" t="n">
        <v>2.32</v>
      </c>
      <c r="AB15" s="56" t="n">
        <v>2.129</v>
      </c>
      <c r="AC15" s="56" t="n">
        <v>1.982</v>
      </c>
      <c r="AD15" s="56" t="n">
        <v>1.864</v>
      </c>
      <c r="AE15" s="56" t="n">
        <v>1.767</v>
      </c>
      <c r="AF15" s="56" t="n">
        <v>1.685</v>
      </c>
      <c r="AG15" s="56" t="n">
        <v>1.556</v>
      </c>
      <c r="AH15" s="56" t="n">
        <v>1.458</v>
      </c>
      <c r="AI15" s="56" t="n">
        <v>1.38</v>
      </c>
    </row>
    <row r="16">
      <c r="A16" s="58" t="n">
        <v>0.1</v>
      </c>
      <c r="D16" s="58" t="n">
        <v>8.215</v>
      </c>
      <c r="E16" s="58" t="n">
        <v>7.066</v>
      </c>
      <c r="F16" s="58" t="n">
        <v>6.358</v>
      </c>
      <c r="G16" s="58" t="n">
        <v>5.806</v>
      </c>
      <c r="H16" s="58" t="n">
        <v>5.389</v>
      </c>
      <c r="I16" s="58" t="n">
        <v>5.045</v>
      </c>
      <c r="J16" s="58" t="n">
        <v>4.508</v>
      </c>
      <c r="K16" s="58" t="n">
        <v>4.129</v>
      </c>
      <c r="L16" s="58" t="n">
        <v>3.828</v>
      </c>
      <c r="M16" s="58" t="n">
        <v>3.583</v>
      </c>
      <c r="N16" s="58" t="n">
        <v>3.384</v>
      </c>
      <c r="O16" s="58" t="n">
        <v>3.069</v>
      </c>
      <c r="P16" s="56" t="n">
        <v>2.828</v>
      </c>
      <c r="Q16" s="56" t="n">
        <v>2.511</v>
      </c>
      <c r="S16" s="58" t="n">
        <v>0.1</v>
      </c>
      <c r="V16" s="58" t="n">
        <v>6.363</v>
      </c>
      <c r="W16" t="n">
        <v>5.769</v>
      </c>
      <c r="X16" s="58" t="n">
        <v>5.374</v>
      </c>
      <c r="Y16" t="n">
        <v>5.028</v>
      </c>
      <c r="Z16" s="58" t="n">
        <v>4.753</v>
      </c>
      <c r="AA16" s="58" t="n">
        <v>4.512</v>
      </c>
      <c r="AB16" s="58" t="n">
        <v>4.115</v>
      </c>
      <c r="AC16" t="n">
        <v>3.822</v>
      </c>
      <c r="AD16" s="58" t="n">
        <v>3.58</v>
      </c>
      <c r="AE16" s="58" t="n">
        <v>3.378</v>
      </c>
      <c r="AF16" s="58" t="n">
        <v>3.21</v>
      </c>
      <c r="AG16" s="58" t="n">
        <v>2.939</v>
      </c>
      <c r="AH16" s="58" t="n">
        <v>2.725</v>
      </c>
      <c r="AI16" s="56" t="n">
        <v>2.431</v>
      </c>
    </row>
    <row r="18">
      <c r="D18" t="inlineStr">
        <is>
          <t>Note that this table is made with Q and Rac, not Q.e and Rac.e. That's why we keep use Rac in the design sheet.</t>
        </is>
      </c>
    </row>
    <row r="26">
      <c r="A26" s="55" t="inlineStr">
        <is>
          <t>Q</t>
        </is>
      </c>
      <c r="B26" s="55" t="n"/>
      <c r="C26" s="55" t="n"/>
      <c r="D26" s="55" t="inlineStr">
        <is>
          <t>m=2.5</t>
        </is>
      </c>
      <c r="E26" s="55" t="inlineStr">
        <is>
          <t>m=3</t>
        </is>
      </c>
      <c r="F26" s="55" t="inlineStr">
        <is>
          <t>m=3.5</t>
        </is>
      </c>
      <c r="G26" s="55" t="inlineStr">
        <is>
          <t>m=4</t>
        </is>
      </c>
      <c r="H26" s="55" t="inlineStr">
        <is>
          <t>m=4.5</t>
        </is>
      </c>
      <c r="I26" s="55" t="inlineStr">
        <is>
          <t>m=5</t>
        </is>
      </c>
      <c r="J26" s="55" t="inlineStr">
        <is>
          <t>m=6</t>
        </is>
      </c>
      <c r="K26" s="55" t="inlineStr">
        <is>
          <t>m=7</t>
        </is>
      </c>
      <c r="L26" s="55" t="inlineStr">
        <is>
          <t>m=8</t>
        </is>
      </c>
      <c r="M26" s="55" t="inlineStr">
        <is>
          <t>m=9</t>
        </is>
      </c>
      <c r="N26" s="55" t="inlineStr">
        <is>
          <t>m=10</t>
        </is>
      </c>
      <c r="O26" s="55" t="inlineStr">
        <is>
          <t>m=12</t>
        </is>
      </c>
      <c r="P26" s="55" t="inlineStr">
        <is>
          <t>m=14</t>
        </is>
      </c>
      <c r="Q26" s="55" t="inlineStr">
        <is>
          <t>m=16</t>
        </is>
      </c>
      <c r="R26" s="55" t="inlineStr">
        <is>
          <t>Required Peak Gain</t>
        </is>
      </c>
    </row>
    <row r="28">
      <c r="A28" s="56" t="n">
        <v>1.2</v>
      </c>
      <c r="B28" s="56" t="n"/>
      <c r="C28" s="56" t="n"/>
      <c r="D28" s="56">
        <f>IF(answer, D5,V5)</f>
        <v/>
      </c>
      <c r="E28" s="56">
        <f>IF(answer, E5,W5)</f>
        <v/>
      </c>
      <c r="F28" s="56">
        <f>IF(answer, F5,X5)</f>
        <v/>
      </c>
      <c r="G28" s="56">
        <f>IF(answer, G5,Y5)</f>
        <v/>
      </c>
      <c r="H28" s="56">
        <f>IF(answer, H5,Z5)</f>
        <v/>
      </c>
      <c r="I28" s="56">
        <f>IF(answer, I5,AA5)</f>
        <v/>
      </c>
      <c r="J28" s="56">
        <f>IF(answer, J5,AB5)</f>
        <v/>
      </c>
      <c r="K28" s="56">
        <f>IF(answer, K5,AC5)</f>
        <v/>
      </c>
      <c r="L28" s="56">
        <f>IF(answer, L5,AD5)</f>
        <v/>
      </c>
      <c r="M28" s="56">
        <f>IF(answer, M5,AE5)</f>
        <v/>
      </c>
      <c r="N28" s="56">
        <f>IF(answer, N5,AF5)</f>
        <v/>
      </c>
      <c r="O28" s="56">
        <f>IF(answer,O5,AG5)</f>
        <v/>
      </c>
      <c r="P28" s="56">
        <f>IF(answer,P5,AH5)</f>
        <v/>
      </c>
      <c r="Q28" s="56">
        <f>IF(answer,Q5,AI5)</f>
        <v/>
      </c>
      <c r="R28">
        <f>Max_Gain_required</f>
        <v/>
      </c>
    </row>
    <row r="29">
      <c r="A29" s="57" t="n">
        <v>1.1</v>
      </c>
      <c r="B29" s="57" t="n"/>
      <c r="C29" s="57" t="n"/>
      <c r="D29" s="56">
        <f>IF(answer, D6,V6)</f>
        <v/>
      </c>
      <c r="E29" s="56">
        <f>IF(answer, E6,W6)</f>
        <v/>
      </c>
      <c r="F29" s="56">
        <f>IF(answer, F6,X6)</f>
        <v/>
      </c>
      <c r="G29" s="56">
        <f>IF(answer, G6,Y6)</f>
        <v/>
      </c>
      <c r="H29" s="56">
        <f>IF(answer, H6,Z6)</f>
        <v/>
      </c>
      <c r="I29" s="56">
        <f>IF(answer, I6,AA6)</f>
        <v/>
      </c>
      <c r="J29" s="56">
        <f>IF(answer, J6,AB6)</f>
        <v/>
      </c>
      <c r="K29" s="56">
        <f>IF(answer, K6,AC6)</f>
        <v/>
      </c>
      <c r="L29" s="56">
        <f>IF(answer, L6,AD6)</f>
        <v/>
      </c>
      <c r="M29" s="56">
        <f>IF(answer, M6,AE6)</f>
        <v/>
      </c>
      <c r="N29" s="56">
        <f>IF(answer, N6,AF6)</f>
        <v/>
      </c>
      <c r="O29" s="56">
        <f>IF(answer,O6,AG6)</f>
        <v/>
      </c>
      <c r="P29" s="56">
        <f>IF(answer,P6,AH6)</f>
        <v/>
      </c>
      <c r="Q29" s="56">
        <f>IF(answer,Q6,AI6)</f>
        <v/>
      </c>
      <c r="R29">
        <f>Max_Gain_required</f>
        <v/>
      </c>
    </row>
    <row r="30">
      <c r="A30" s="56" t="n">
        <v>1</v>
      </c>
      <c r="B30" s="56" t="n"/>
      <c r="C30" s="56" t="n"/>
      <c r="D30" s="56">
        <f>IF(answer, D7,V7)</f>
        <v/>
      </c>
      <c r="E30" s="56">
        <f>IF(answer, E7,W7)</f>
        <v/>
      </c>
      <c r="F30" s="56">
        <f>IF(answer, F7,X7)</f>
        <v/>
      </c>
      <c r="G30" s="56">
        <f>IF(answer, G7,Y7)</f>
        <v/>
      </c>
      <c r="H30" s="56">
        <f>IF(answer, H7,Z7)</f>
        <v/>
      </c>
      <c r="I30" s="56">
        <f>IF(answer, I7,AA7)</f>
        <v/>
      </c>
      <c r="J30" s="56">
        <f>IF(answer, J7,AB7)</f>
        <v/>
      </c>
      <c r="K30" s="56">
        <f>IF(answer, K7,AC7)</f>
        <v/>
      </c>
      <c r="L30" s="56">
        <f>IF(answer, L7,AD7)</f>
        <v/>
      </c>
      <c r="M30" s="56">
        <f>IF(answer, M7,AE7)</f>
        <v/>
      </c>
      <c r="N30" s="56">
        <f>IF(answer, N7,AF7)</f>
        <v/>
      </c>
      <c r="O30" s="56">
        <f>IF(answer,O7,AG7)</f>
        <v/>
      </c>
      <c r="P30" s="56">
        <f>IF(answer,P7,AH7)</f>
        <v/>
      </c>
      <c r="Q30" s="56">
        <f>IF(answer,Q7,AI7)</f>
        <v/>
      </c>
      <c r="R30">
        <f>Max_Gain_required</f>
        <v/>
      </c>
      <c r="T30" s="127" t="n"/>
      <c r="U30" s="127" t="n"/>
      <c r="V30" s="127" t="n"/>
      <c r="W30" s="127" t="n"/>
      <c r="X30" s="127" t="n"/>
      <c r="Y30" s="127" t="n"/>
      <c r="Z30" s="127" t="n"/>
      <c r="AA30" s="127" t="n"/>
      <c r="AB30" s="127" t="n"/>
      <c r="AC30" s="127" t="n"/>
    </row>
    <row r="31">
      <c r="A31" s="58" t="n">
        <v>0.9</v>
      </c>
      <c r="B31" s="58" t="n"/>
      <c r="C31" s="58" t="n"/>
      <c r="D31" s="56">
        <f>IF(answer, D8,V8)</f>
        <v/>
      </c>
      <c r="E31" s="56">
        <f>IF(answer, E8,W8)</f>
        <v/>
      </c>
      <c r="F31" s="56">
        <f>IF(answer, F8,X8)</f>
        <v/>
      </c>
      <c r="G31" s="56">
        <f>IF(answer, G8,Y8)</f>
        <v/>
      </c>
      <c r="H31" s="56">
        <f>IF(answer, H8,Z8)</f>
        <v/>
      </c>
      <c r="I31" s="56">
        <f>IF(answer, I8,AA8)</f>
        <v/>
      </c>
      <c r="J31" s="56">
        <f>IF(answer, J8,AB8)</f>
        <v/>
      </c>
      <c r="K31" s="56">
        <f>IF(answer, K8,AC8)</f>
        <v/>
      </c>
      <c r="L31" s="56">
        <f>IF(answer, L8,AD8)</f>
        <v/>
      </c>
      <c r="M31" s="56">
        <f>IF(answer, M8,AE8)</f>
        <v/>
      </c>
      <c r="N31" s="56">
        <f>IF(answer, N8,AF8)</f>
        <v/>
      </c>
      <c r="O31" s="56">
        <f>IF(answer,O8,AG8)</f>
        <v/>
      </c>
      <c r="P31" s="56">
        <f>IF(answer,P8,AH8)</f>
        <v/>
      </c>
      <c r="Q31" s="56">
        <f>IF(answer,Q8,AI8)</f>
        <v/>
      </c>
      <c r="R31">
        <f>Max_Gain_required</f>
        <v/>
      </c>
      <c r="S31" s="127" t="n"/>
    </row>
    <row r="32">
      <c r="A32" s="56" t="n">
        <v>0.8</v>
      </c>
      <c r="B32" s="56" t="n"/>
      <c r="C32" s="56" t="n"/>
      <c r="D32" s="56">
        <f>IF(answer, D9,V9)</f>
        <v/>
      </c>
      <c r="E32" s="56">
        <f>IF(answer, E9,W9)</f>
        <v/>
      </c>
      <c r="F32" s="56">
        <f>IF(answer, F9,X9)</f>
        <v/>
      </c>
      <c r="G32" s="56">
        <f>IF(answer, G9,Y9)</f>
        <v/>
      </c>
      <c r="H32" s="56">
        <f>IF(answer, H9,Z9)</f>
        <v/>
      </c>
      <c r="I32" s="56">
        <f>IF(answer, I9,AA9)</f>
        <v/>
      </c>
      <c r="J32" s="56">
        <f>IF(answer, J9,AB9)</f>
        <v/>
      </c>
      <c r="K32" s="56">
        <f>IF(answer, K9,AC9)</f>
        <v/>
      </c>
      <c r="L32" s="56">
        <f>IF(answer, L9,AD9)</f>
        <v/>
      </c>
      <c r="M32" s="56">
        <f>IF(answer, M9,AE9)</f>
        <v/>
      </c>
      <c r="N32" s="56">
        <f>IF(answer, N9,AF9)</f>
        <v/>
      </c>
      <c r="O32" s="56">
        <f>IF(answer,O9,AG9)</f>
        <v/>
      </c>
      <c r="P32" s="56">
        <f>IF(answer,P9,AH9)</f>
        <v/>
      </c>
      <c r="Q32" s="56">
        <f>IF(answer,Q9,AI9)</f>
        <v/>
      </c>
      <c r="R32">
        <f>Max_Gain_required</f>
        <v/>
      </c>
    </row>
    <row r="33">
      <c r="A33" s="58" t="n">
        <v>0.7</v>
      </c>
      <c r="B33" s="58" t="n"/>
      <c r="C33" s="58" t="n"/>
      <c r="D33" s="56">
        <f>IF(answer, D10,V10)</f>
        <v/>
      </c>
      <c r="E33" s="56">
        <f>IF(answer, E10,W10)</f>
        <v/>
      </c>
      <c r="F33" s="56">
        <f>IF(answer, F10,X10)</f>
        <v/>
      </c>
      <c r="G33" s="56">
        <f>IF(answer, G10,Y10)</f>
        <v/>
      </c>
      <c r="H33" s="56">
        <f>IF(answer, H10,Z10)</f>
        <v/>
      </c>
      <c r="I33" s="56">
        <f>IF(answer, I10,AA10)</f>
        <v/>
      </c>
      <c r="J33" s="56">
        <f>IF(answer, J10,AB10)</f>
        <v/>
      </c>
      <c r="K33" s="56">
        <f>IF(answer, K10,AC10)</f>
        <v/>
      </c>
      <c r="L33" s="56">
        <f>IF(answer, L10,AD10)</f>
        <v/>
      </c>
      <c r="M33" s="56">
        <f>IF(answer, M10,AE10)</f>
        <v/>
      </c>
      <c r="N33" s="56">
        <f>IF(answer, N10,AF10)</f>
        <v/>
      </c>
      <c r="O33" s="56">
        <f>IF(answer,O10,AG10)</f>
        <v/>
      </c>
      <c r="P33" s="56">
        <f>IF(answer,P10,AH10)</f>
        <v/>
      </c>
      <c r="Q33" s="56">
        <f>IF(answer,Q10,AI10)</f>
        <v/>
      </c>
      <c r="R33">
        <f>Max_Gain_required</f>
        <v/>
      </c>
    </row>
    <row r="34">
      <c r="A34" s="56" t="n">
        <v>0.6</v>
      </c>
      <c r="B34" s="56" t="n"/>
      <c r="C34" s="56" t="n"/>
      <c r="D34" s="56">
        <f>IF(answer, D11,V11)</f>
        <v/>
      </c>
      <c r="E34" s="56">
        <f>IF(answer, E11,W11)</f>
        <v/>
      </c>
      <c r="F34" s="56">
        <f>IF(answer, F11,X11)</f>
        <v/>
      </c>
      <c r="G34" s="56">
        <f>IF(answer, G11,Y11)</f>
        <v/>
      </c>
      <c r="H34" s="56">
        <f>IF(answer, H11,Z11)</f>
        <v/>
      </c>
      <c r="I34" s="56">
        <f>IF(answer, I11,AA11)</f>
        <v/>
      </c>
      <c r="J34" s="56">
        <f>IF(answer, J11,AB11)</f>
        <v/>
      </c>
      <c r="K34" s="56">
        <f>IF(answer, K11,AC11)</f>
        <v/>
      </c>
      <c r="L34" s="56">
        <f>IF(answer, L11,AD11)</f>
        <v/>
      </c>
      <c r="M34" s="56">
        <f>IF(answer, M11,AE11)</f>
        <v/>
      </c>
      <c r="N34" s="56">
        <f>IF(answer, N11,AF11)</f>
        <v/>
      </c>
      <c r="O34" s="56">
        <f>IF(answer,O11,AG11)</f>
        <v/>
      </c>
      <c r="P34" s="56">
        <f>IF(answer,P11,AH11)</f>
        <v/>
      </c>
      <c r="Q34" s="56">
        <f>IF(answer,Q11,AI11)</f>
        <v/>
      </c>
      <c r="R34">
        <f>Max_Gain_required</f>
        <v/>
      </c>
    </row>
    <row r="35">
      <c r="A35" s="58" t="n">
        <v>0.5</v>
      </c>
      <c r="B35" s="58" t="n"/>
      <c r="C35" s="58" t="n"/>
      <c r="D35" s="56">
        <f>IF(answer, D12,V12)</f>
        <v/>
      </c>
      <c r="E35" s="56">
        <f>IF(answer, E12,W12)</f>
        <v/>
      </c>
      <c r="F35" s="56">
        <f>IF(answer, F12,X12)</f>
        <v/>
      </c>
      <c r="G35" s="56">
        <f>IF(answer, G12,Y12)</f>
        <v/>
      </c>
      <c r="H35" s="56">
        <f>IF(answer, H12,Z12)</f>
        <v/>
      </c>
      <c r="I35" s="56">
        <f>IF(answer, I12,AA12)</f>
        <v/>
      </c>
      <c r="J35" s="56">
        <f>IF(answer, J12,AB12)</f>
        <v/>
      </c>
      <c r="K35" s="56">
        <f>IF(answer, K12,AC12)</f>
        <v/>
      </c>
      <c r="L35" s="56">
        <f>IF(answer, L12,AD12)</f>
        <v/>
      </c>
      <c r="M35" s="56">
        <f>IF(answer, M12,AE12)</f>
        <v/>
      </c>
      <c r="N35" s="56">
        <f>IF(answer, N12,AF12)</f>
        <v/>
      </c>
      <c r="O35" s="56">
        <f>IF(answer,O12,AG12)</f>
        <v/>
      </c>
      <c r="P35" s="56">
        <f>IF(answer,P12,AH12)</f>
        <v/>
      </c>
      <c r="Q35" s="56">
        <f>IF(answer,Q12,AI12)</f>
        <v/>
      </c>
      <c r="R35">
        <f>Max_Gain_required</f>
        <v/>
      </c>
    </row>
    <row r="36">
      <c r="A36" s="56" t="n">
        <v>0.4</v>
      </c>
      <c r="B36" s="56" t="n"/>
      <c r="C36" s="56" t="n"/>
      <c r="D36" s="56">
        <f>IF(answer, D13,V13)</f>
        <v/>
      </c>
      <c r="E36" s="56">
        <f>IF(answer, E13,W13)</f>
        <v/>
      </c>
      <c r="F36" s="56">
        <f>IF(answer, F13,X13)</f>
        <v/>
      </c>
      <c r="G36" s="56">
        <f>IF(answer, G13,Y13)</f>
        <v/>
      </c>
      <c r="H36" s="56">
        <f>IF(answer, H13,Z13)</f>
        <v/>
      </c>
      <c r="I36" s="56">
        <f>IF(answer, I13,AA13)</f>
        <v/>
      </c>
      <c r="J36" s="56">
        <f>IF(answer, J13,AB13)</f>
        <v/>
      </c>
      <c r="K36" s="56">
        <f>IF(answer, K13,AC13)</f>
        <v/>
      </c>
      <c r="L36" s="56">
        <f>IF(answer, L13,AD13)</f>
        <v/>
      </c>
      <c r="M36" s="56">
        <f>IF(answer, M13,AE13)</f>
        <v/>
      </c>
      <c r="N36" s="56">
        <f>IF(answer, N13,AF13)</f>
        <v/>
      </c>
      <c r="O36" s="56">
        <f>IF(answer,O13,AG13)</f>
        <v/>
      </c>
      <c r="P36" s="56">
        <f>IF(answer,P13,AH13)</f>
        <v/>
      </c>
      <c r="Q36" s="56">
        <f>IF(answer,Q13,AI13)</f>
        <v/>
      </c>
      <c r="R36">
        <f>Max_Gain_required</f>
        <v/>
      </c>
    </row>
    <row r="37">
      <c r="A37" s="58" t="n">
        <v>0.3</v>
      </c>
      <c r="B37" s="58" t="n"/>
      <c r="C37" s="58" t="n"/>
      <c r="D37" s="56">
        <f>IF(answer, D14,V14)</f>
        <v/>
      </c>
      <c r="E37" s="56">
        <f>IF(answer, E14,W14)</f>
        <v/>
      </c>
      <c r="F37" s="56">
        <f>IF(answer, F14,X14)</f>
        <v/>
      </c>
      <c r="G37" s="56">
        <f>IF(answer, G14,Y14)</f>
        <v/>
      </c>
      <c r="H37" s="56">
        <f>IF(answer, H14,Z14)</f>
        <v/>
      </c>
      <c r="I37" s="56">
        <f>IF(answer, I14,AA14)</f>
        <v/>
      </c>
      <c r="J37" s="56">
        <f>IF(answer, J14,AB14)</f>
        <v/>
      </c>
      <c r="K37" s="56">
        <f>IF(answer, K14,AC14)</f>
        <v/>
      </c>
      <c r="L37" s="56">
        <f>IF(answer, L14,AD14)</f>
        <v/>
      </c>
      <c r="M37" s="56">
        <f>IF(answer, M14,AE14)</f>
        <v/>
      </c>
      <c r="N37" s="56">
        <f>IF(answer, N14,AF14)</f>
        <v/>
      </c>
      <c r="O37" s="56">
        <f>IF(answer,O14,AG14)</f>
        <v/>
      </c>
      <c r="P37" s="56">
        <f>IF(answer,P14,AH14)</f>
        <v/>
      </c>
      <c r="Q37" s="56">
        <f>IF(answer,Q14,AI14)</f>
        <v/>
      </c>
      <c r="R37">
        <f>Max_Gain_required</f>
        <v/>
      </c>
    </row>
    <row r="38">
      <c r="A38" s="56" t="n">
        <v>0.2</v>
      </c>
      <c r="B38" s="56" t="n"/>
      <c r="C38" s="56" t="n"/>
      <c r="D38" s="56">
        <f>IF(answer, D15,V15)</f>
        <v/>
      </c>
      <c r="E38" s="56">
        <f>IF(answer, E15,W15)</f>
        <v/>
      </c>
      <c r="F38" s="56">
        <f>IF(answer, F15,X15)</f>
        <v/>
      </c>
      <c r="G38" s="56">
        <f>IF(answer, G15,Y15)</f>
        <v/>
      </c>
      <c r="H38" s="56">
        <f>IF(answer, H15,Z15)</f>
        <v/>
      </c>
      <c r="I38" s="56">
        <f>IF(answer, I15,AA15)</f>
        <v/>
      </c>
      <c r="J38" s="56">
        <f>IF(answer, J15,AB15)</f>
        <v/>
      </c>
      <c r="K38" s="56">
        <f>IF(answer, K15,AC15)</f>
        <v/>
      </c>
      <c r="L38" s="56">
        <f>IF(answer, L15,AD15)</f>
        <v/>
      </c>
      <c r="M38" s="56">
        <f>IF(answer, M15,AE15)</f>
        <v/>
      </c>
      <c r="N38" s="56">
        <f>IF(answer, N15,AF15)</f>
        <v/>
      </c>
      <c r="O38" s="56">
        <f>IF(answer,O15,AG15)</f>
        <v/>
      </c>
      <c r="P38" s="56">
        <f>IF(answer,P15,AH15)</f>
        <v/>
      </c>
      <c r="Q38" s="56">
        <f>IF(answer,Q15,AI15)</f>
        <v/>
      </c>
      <c r="R38">
        <f>Max_Gain_required</f>
        <v/>
      </c>
    </row>
    <row r="39">
      <c r="A39" s="58" t="n">
        <v>0.1</v>
      </c>
      <c r="D39" s="56">
        <f>IF(answer, D16,V16)</f>
        <v/>
      </c>
      <c r="E39" s="56">
        <f>IF(answer, E16,W16)</f>
        <v/>
      </c>
      <c r="F39" s="56">
        <f>IF(answer, F16,X16)</f>
        <v/>
      </c>
      <c r="G39" s="56">
        <f>IF(answer, G16,Y16)</f>
        <v/>
      </c>
      <c r="H39" s="56">
        <f>IF(answer, H16,Z16)</f>
        <v/>
      </c>
      <c r="I39" s="56">
        <f>IF(answer, I16,AA16)</f>
        <v/>
      </c>
      <c r="J39" s="56">
        <f>IF(answer, J16,AB16)</f>
        <v/>
      </c>
      <c r="K39" s="56">
        <f>IF(answer, K16,AC16)</f>
        <v/>
      </c>
      <c r="L39" s="56">
        <f>IF(answer, L16,AD16)</f>
        <v/>
      </c>
      <c r="M39" s="56">
        <f>IF(answer, M16,AE16)</f>
        <v/>
      </c>
      <c r="N39" s="56">
        <f>IF(answer, N16,AF16)</f>
        <v/>
      </c>
      <c r="O39" s="56">
        <f>IF(answer,O16,AG16)</f>
        <v/>
      </c>
      <c r="P39" s="56">
        <f>IF(answer,P16,AH16)</f>
        <v/>
      </c>
      <c r="Q39" s="56">
        <f>IF(answer,Q16,AI16)</f>
        <v/>
      </c>
      <c r="R39">
        <f>Max_Gain_required</f>
        <v/>
      </c>
    </row>
    <row r="45">
      <c r="V45" s="127" t="n"/>
      <c r="W45" s="127" t="n"/>
      <c r="X45" s="127" t="n"/>
      <c r="Y45" s="127" t="n"/>
      <c r="Z45" s="127" t="n"/>
    </row>
    <row r="95"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</row>
    <row r="96">
      <c r="A96" s="127" t="n"/>
    </row>
    <row r="99">
      <c r="E99" t="n">
        <v>1.43</v>
      </c>
    </row>
    <row r="100">
      <c r="E100" s="56" t="n">
        <v>1.45</v>
      </c>
    </row>
    <row r="101">
      <c r="E101" s="57" t="n">
        <v>1.47</v>
      </c>
    </row>
    <row r="102">
      <c r="E102" s="56" t="n">
        <v>1.5</v>
      </c>
    </row>
    <row r="103">
      <c r="E103" s="58" t="n">
        <v>1.54</v>
      </c>
    </row>
    <row r="104">
      <c r="E104" s="56" t="n">
        <v>1.6</v>
      </c>
    </row>
    <row r="105">
      <c r="E105" s="58" t="n">
        <v>1.7</v>
      </c>
    </row>
    <row r="106">
      <c r="E106" s="56" t="n">
        <v>1.83</v>
      </c>
    </row>
    <row r="107">
      <c r="E107" s="58" t="n">
        <v>2.07</v>
      </c>
    </row>
    <row r="108">
      <c r="E108" s="56" t="n">
        <v>2.45</v>
      </c>
    </row>
    <row r="109">
      <c r="E109" s="58" t="n">
        <v>5</v>
      </c>
    </row>
    <row r="110">
      <c r="E110" s="56" t="n">
        <v>10</v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5"/>
  <sheetViews>
    <sheetView topLeftCell="A7" workbookViewId="0">
      <selection activeCell="L9" sqref="L9"/>
    </sheetView>
  </sheetViews>
  <sheetFormatPr baseColWidth="8" defaultRowHeight="15"/>
  <cols>
    <col width="13.28515625" customWidth="1" min="1" max="1"/>
    <col width="17.7109375" customWidth="1" min="2" max="2"/>
    <col width="9.140625" customWidth="1" min="8" max="8"/>
    <col width="12.7109375" customWidth="1" min="16" max="16"/>
  </cols>
  <sheetData>
    <row r="1">
      <c r="A1" s="77" t="inlineStr">
        <is>
          <t>wo=</t>
        </is>
      </c>
      <c r="B1" s="78">
        <f>1/SQRT(Lr*10^-6*Cr*10^-9)</f>
        <v/>
      </c>
      <c r="C1" t="inlineStr">
        <is>
          <t>rad/s</t>
        </is>
      </c>
      <c r="D1">
        <f>Lp</f>
        <v/>
      </c>
      <c r="H1" s="75" t="inlineStr">
        <is>
          <t>MAX gain at 100% load</t>
        </is>
      </c>
      <c r="I1" s="63">
        <f>MAX(C8:C110)</f>
        <v/>
      </c>
    </row>
    <row r="2">
      <c r="A2" s="77" t="inlineStr">
        <is>
          <t>wp=</t>
        </is>
      </c>
      <c r="B2" s="78">
        <f>1/SQRT(Lp*10^-6*Cr*10^-9)</f>
        <v/>
      </c>
      <c r="C2" t="inlineStr">
        <is>
          <t>rad/s</t>
        </is>
      </c>
      <c r="H2" s="75" t="inlineStr">
        <is>
          <t>Relative row number of the MAX gain</t>
        </is>
      </c>
      <c r="I2">
        <f>MATCH(MAX(C8:C110),C8:C110,0)</f>
        <v/>
      </c>
    </row>
    <row r="3">
      <c r="A3" s="77" t="inlineStr">
        <is>
          <t>Rac.e=</t>
        </is>
      </c>
      <c r="B3" s="78">
        <f>8*nn^2*Vo^2/(PI())^2/Po/MC^2</f>
        <v/>
      </c>
      <c r="H3" s="75" t="inlineStr">
        <is>
          <t>freqeuncy of the MAX gain</t>
        </is>
      </c>
      <c r="I3" s="76">
        <f>INDEX(A8:A110,MATCH(MAX(C8:C110),C8:C110,0),1)</f>
        <v/>
      </c>
    </row>
    <row r="4">
      <c r="A4" s="77" t="inlineStr">
        <is>
          <t>Q.e=</t>
        </is>
      </c>
      <c r="B4" s="79">
        <f>SQRT(Lr*10^-6*10^9/Cr)/Rac.e</f>
        <v/>
      </c>
    </row>
    <row r="5">
      <c r="A5" s="77" t="inlineStr">
        <is>
          <t>MV=</t>
        </is>
      </c>
      <c r="B5" s="79">
        <f>IF(answer,SQRT(Ma/(Ma-1)),1)</f>
        <v/>
      </c>
    </row>
    <row r="7">
      <c r="A7" t="inlineStr">
        <is>
          <t>fs</t>
        </is>
      </c>
      <c r="B7" t="inlineStr">
        <is>
          <t>ws</t>
        </is>
      </c>
      <c r="C7" s="60" t="inlineStr">
        <is>
          <t>100% load</t>
        </is>
      </c>
      <c r="D7" s="60" t="inlineStr">
        <is>
          <t>80% load</t>
        </is>
      </c>
      <c r="E7" s="60" t="inlineStr">
        <is>
          <t>60% load</t>
        </is>
      </c>
      <c r="F7" s="60" t="inlineStr">
        <is>
          <t>40% load</t>
        </is>
      </c>
      <c r="G7" s="60" t="inlineStr">
        <is>
          <t>20% load</t>
        </is>
      </c>
      <c r="H7" s="60" t="inlineStr">
        <is>
          <t>Min.gain (norminal)</t>
        </is>
      </c>
      <c r="I7" s="60" t="inlineStr">
        <is>
          <t>Max.gain(holdup)</t>
        </is>
      </c>
      <c r="L7" s="60" t="inlineStr">
        <is>
          <t>Freq.max.gain</t>
        </is>
      </c>
      <c r="M7" s="60" t="inlineStr">
        <is>
          <t>gain</t>
        </is>
      </c>
    </row>
    <row r="8">
      <c r="A8" s="61">
        <f>fo*0.35</f>
        <v/>
      </c>
      <c r="B8" s="62">
        <f>2000*3.14*A8</f>
        <v/>
      </c>
      <c r="C8" s="63">
        <f>(B8/wo)^2*(Ma-1)*IF(answer,MC,1)/SQRT((1-B8^2/wp^2)^2+(B8/wo)^2*(1-B8^2/wo^2)^2*((Ma-1)*Q.e)^2)</f>
        <v/>
      </c>
      <c r="D8" s="63">
        <f>(B8/wo)^2*(Ma-1)*IF(answer,MC,1)/SQRT((1-B8^2/wp^2)^2+(B8/wo)^2*(1-B8^2/wo^2)^2*((Ma-1)*Q.e*0.8)^2)</f>
        <v/>
      </c>
      <c r="E8" s="63">
        <f>(B8/wo)^2*(Ma-1)*IF(answer,MC,1)/SQRT((1-B8^2/wp^2)^2+(B8/wo)^2*(1-B8^2/wo^2)^2*((Ma-1)*Q.e*0.6)^2)</f>
        <v/>
      </c>
      <c r="F8" s="63">
        <f>(B8/wo)^2*(Ma-1)*IF(answer,MC,1)/SQRT((1-B8^2/wp^2)^2+(B8/wo)^2*(1-B8^2/wo^2)^2*((Ma-1)*Q.e*0.4)^2)</f>
        <v/>
      </c>
      <c r="G8" s="63">
        <f>(B8/wo)^2*(Ma-1)*IF(answer,MC,1)/SQRT((1-B8^2/wp^2)^2+(B8/wo)^2*(1-B8^2/wo^2)^2*((Ma-1)*Q.e*0.2)^2)</f>
        <v/>
      </c>
      <c r="H8">
        <f>M_min</f>
        <v/>
      </c>
      <c r="I8">
        <f>Max_Gain_required</f>
        <v/>
      </c>
      <c r="L8">
        <f>f_min.curve</f>
        <v/>
      </c>
      <c r="M8" t="n">
        <v>0</v>
      </c>
    </row>
    <row r="9">
      <c r="A9" s="61">
        <f>A8*10^0.008</f>
        <v/>
      </c>
      <c r="B9" s="62">
        <f>2000*3.14*A9</f>
        <v/>
      </c>
      <c r="C9" s="63">
        <f>(B9/wo)^2*(Ma-1)*IF(answer,MC,1)/SQRT((1-B9^2/wp^2)^2+(B9/wo)^2*(1-B9^2/wo^2)^2*((Ma-1)*Q.e)^2)</f>
        <v/>
      </c>
      <c r="D9" s="63">
        <f>(B9/wo)^2*(Ma-1)*IF(answer,MC,1)/SQRT((1-B9^2/wp^2)^2+(B9/wo)^2*(1-B9^2/wo^2)^2*((Ma-1)*Q.e*0.8)^2)</f>
        <v/>
      </c>
      <c r="E9" s="63">
        <f>(B9/wo)^2*(Ma-1)*IF(answer,MC,1)/SQRT((1-B9^2/wp^2)^2+(B9/wo)^2*(1-B9^2/wo^2)^2*((Ma-1)*Q.e*0.6)^2)</f>
        <v/>
      </c>
      <c r="F9" s="63">
        <f>(B9/wo)^2*(Ma-1)*IF(answer,MC,1)/SQRT((1-B9^2/wp^2)^2+(B9/wo)^2*(1-B9^2/wo^2)^2*((Ma-1)*Q.e*0.4)^2)</f>
        <v/>
      </c>
      <c r="G9" s="63">
        <f>(B9/wo)^2*(Ma-1)*IF(answer,MC,1)/SQRT((1-B9^2/wp^2)^2+(B9/wo)^2*(1-B9^2/wo^2)^2*((Ma-1)*Q.e*0.2)^2)</f>
        <v/>
      </c>
      <c r="H9">
        <f>M_min</f>
        <v/>
      </c>
      <c r="I9">
        <f>Max_Gain_required</f>
        <v/>
      </c>
      <c r="L9">
        <f>f_min.curve</f>
        <v/>
      </c>
      <c r="M9">
        <f>Max_Gain_required</f>
        <v/>
      </c>
    </row>
    <row r="10">
      <c r="A10" s="61">
        <f>A9*10^0.008</f>
        <v/>
      </c>
      <c r="B10" s="62">
        <f>2000*3.14*A10</f>
        <v/>
      </c>
      <c r="C10" s="63">
        <f>(B10/wo)^2*(Ma-1)*IF(answer,MC,1)/SQRT((1-B10^2/wp^2)^2+(B10/wo)^2*(1-B10^2/wo^2)^2*((Ma-1)*Q.e)^2)</f>
        <v/>
      </c>
      <c r="D10" s="63">
        <f>(B10/wo)^2*(Ma-1)*IF(answer,MC,1)/SQRT((1-B10^2/wp^2)^2+(B10/wo)^2*(1-B10^2/wo^2)^2*((Ma-1)*Q.e*0.8)^2)</f>
        <v/>
      </c>
      <c r="E10" s="63">
        <f>(B10/wo)^2*(Ma-1)*IF(answer,MC,1)/SQRT((1-B10^2/wp^2)^2+(B10/wo)^2*(1-B10^2/wo^2)^2*((Ma-1)*Q.e*0.6)^2)</f>
        <v/>
      </c>
      <c r="F10" s="63">
        <f>(B10/wo)^2*(Ma-1)*IF(answer,MC,1)/SQRT((1-B10^2/wp^2)^2+(B10/wo)^2*(1-B10^2/wo^2)^2*((Ma-1)*Q.e*0.4)^2)</f>
        <v/>
      </c>
      <c r="G10" s="63">
        <f>(B10/wo)^2*(Ma-1)*IF(answer,MC,1)/SQRT((1-B10^2/wp^2)^2+(B10/wo)^2*(1-B10^2/wo^2)^2*((Ma-1)*Q.e*0.2)^2)</f>
        <v/>
      </c>
      <c r="H10">
        <f>M_min</f>
        <v/>
      </c>
      <c r="I10">
        <f>Max_Gain_required</f>
        <v/>
      </c>
    </row>
    <row r="11">
      <c r="A11" s="61">
        <f>A10*10^0.008</f>
        <v/>
      </c>
      <c r="B11" s="62">
        <f>2000*3.14*A11</f>
        <v/>
      </c>
      <c r="C11" s="63">
        <f>(B11/wo)^2*(Ma-1)*IF(answer,MC,1)/SQRT((1-B11^2/wp^2)^2+(B11/wo)^2*(1-B11^2/wo^2)^2*((Ma-1)*Q.e)^2)</f>
        <v/>
      </c>
      <c r="D11" s="63">
        <f>(B11/wo)^2*(Ma-1)*IF(answer,MC,1)/SQRT((1-B11^2/wp^2)^2+(B11/wo)^2*(1-B11^2/wo^2)^2*((Ma-1)*Q.e*0.8)^2)</f>
        <v/>
      </c>
      <c r="E11" s="63">
        <f>(B11/wo)^2*(Ma-1)*IF(answer,MC,1)/SQRT((1-B11^2/wp^2)^2+(B11/wo)^2*(1-B11^2/wo^2)^2*((Ma-1)*Q.e*0.6)^2)</f>
        <v/>
      </c>
      <c r="F11" s="63">
        <f>(B11/wo)^2*(Ma-1)*IF(answer,MC,1)/SQRT((1-B11^2/wp^2)^2+(B11/wo)^2*(1-B11^2/wo^2)^2*((Ma-1)*Q.e*0.4)^2)</f>
        <v/>
      </c>
      <c r="G11" s="63">
        <f>(B11/wo)^2*(Ma-1)*IF(answer,MC,1)/SQRT((1-B11^2/wp^2)^2+(B11/wo)^2*(1-B11^2/wo^2)^2*((Ma-1)*Q.e*0.2)^2)</f>
        <v/>
      </c>
      <c r="H11">
        <f>M_min</f>
        <v/>
      </c>
      <c r="I11">
        <f>Max_Gain_required</f>
        <v/>
      </c>
    </row>
    <row r="12">
      <c r="A12" s="61">
        <f>A11*10^0.008</f>
        <v/>
      </c>
      <c r="B12" s="62">
        <f>2000*3.14*A12</f>
        <v/>
      </c>
      <c r="C12" s="63">
        <f>(B12/wo)^2*(Ma-1)*IF(answer,MC,1)/SQRT((1-B12^2/wp^2)^2+(B12/wo)^2*(1-B12^2/wo^2)^2*((Ma-1)*Q.e)^2)</f>
        <v/>
      </c>
      <c r="D12" s="63">
        <f>(B12/wo)^2*(Ma-1)*IF(answer,MC,1)/SQRT((1-B12^2/wp^2)^2+(B12/wo)^2*(1-B12^2/wo^2)^2*((Ma-1)*Q.e*0.8)^2)</f>
        <v/>
      </c>
      <c r="E12" s="63">
        <f>(B12/wo)^2*(Ma-1)*IF(answer,MC,1)/SQRT((1-B12^2/wp^2)^2+(B12/wo)^2*(1-B12^2/wo^2)^2*((Ma-1)*Q.e*0.6)^2)</f>
        <v/>
      </c>
      <c r="F12" s="63">
        <f>(B12/wo)^2*(Ma-1)*IF(answer,MC,1)/SQRT((1-B12^2/wp^2)^2+(B12/wo)^2*(1-B12^2/wo^2)^2*((Ma-1)*Q.e*0.4)^2)</f>
        <v/>
      </c>
      <c r="G12" s="63">
        <f>(B12/wo)^2*(Ma-1)*IF(answer,MC,1)/SQRT((1-B12^2/wp^2)^2+(B12/wo)^2*(1-B12^2/wo^2)^2*((Ma-1)*Q.e*0.2)^2)</f>
        <v/>
      </c>
      <c r="H12">
        <f>M_min</f>
        <v/>
      </c>
      <c r="I12">
        <f>Max_Gain_required</f>
        <v/>
      </c>
    </row>
    <row r="13">
      <c r="A13" s="61">
        <f>A12*10^0.008</f>
        <v/>
      </c>
      <c r="B13" s="62">
        <f>2000*3.14*A13</f>
        <v/>
      </c>
      <c r="C13" s="63">
        <f>(B13/wo)^2*(Ma-1)*IF(answer,MC,1)/SQRT((1-B13^2/wp^2)^2+(B13/wo)^2*(1-B13^2/wo^2)^2*((Ma-1)*Q.e)^2)</f>
        <v/>
      </c>
      <c r="D13" s="63">
        <f>(B13/wo)^2*(Ma-1)*IF(answer,MC,1)/SQRT((1-B13^2/wp^2)^2+(B13/wo)^2*(1-B13^2/wo^2)^2*((Ma-1)*Q.e*0.8)^2)</f>
        <v/>
      </c>
      <c r="E13" s="63">
        <f>(B13/wo)^2*(Ma-1)*IF(answer,MC,1)/SQRT((1-B13^2/wp^2)^2+(B13/wo)^2*(1-B13^2/wo^2)^2*((Ma-1)*Q.e*0.6)^2)</f>
        <v/>
      </c>
      <c r="F13" s="63">
        <f>(B13/wo)^2*(Ma-1)*IF(answer,MC,1)/SQRT((1-B13^2/wp^2)^2+(B13/wo)^2*(1-B13^2/wo^2)^2*((Ma-1)*Q.e*0.4)^2)</f>
        <v/>
      </c>
      <c r="G13" s="63">
        <f>(B13/wo)^2*(Ma-1)*IF(answer,MC,1)/SQRT((1-B13^2/wp^2)^2+(B13/wo)^2*(1-B13^2/wo^2)^2*((Ma-1)*Q.e*0.2)^2)</f>
        <v/>
      </c>
      <c r="H13">
        <f>M_min</f>
        <v/>
      </c>
      <c r="I13">
        <f>Max_Gain_required</f>
        <v/>
      </c>
    </row>
    <row r="14">
      <c r="A14" s="61">
        <f>A13*10^0.008</f>
        <v/>
      </c>
      <c r="B14" s="62">
        <f>2000*3.14*A14</f>
        <v/>
      </c>
      <c r="C14" s="63">
        <f>(B14/wo)^2*(Ma-1)*IF(answer,MC,1)/SQRT((1-B14^2/wp^2)^2+(B14/wo)^2*(1-B14^2/wo^2)^2*((Ma-1)*Q.e)^2)</f>
        <v/>
      </c>
      <c r="D14" s="63">
        <f>(B14/wo)^2*(Ma-1)*IF(answer,MC,1)/SQRT((1-B14^2/wp^2)^2+(B14/wo)^2*(1-B14^2/wo^2)^2*((Ma-1)*Q.e*0.8)^2)</f>
        <v/>
      </c>
      <c r="E14" s="63">
        <f>(B14/wo)^2*(Ma-1)*IF(answer,MC,1)/SQRT((1-B14^2/wp^2)^2+(B14/wo)^2*(1-B14^2/wo^2)^2*((Ma-1)*Q.e*0.6)^2)</f>
        <v/>
      </c>
      <c r="F14" s="63">
        <f>(B14/wo)^2*(Ma-1)*IF(answer,MC,1)/SQRT((1-B14^2/wp^2)^2+(B14/wo)^2*(1-B14^2/wo^2)^2*((Ma-1)*Q.e*0.4)^2)</f>
        <v/>
      </c>
      <c r="G14" s="63">
        <f>(B14/wo)^2*(Ma-1)*IF(answer,MC,1)/SQRT((1-B14^2/wp^2)^2+(B14/wo)^2*(1-B14^2/wo^2)^2*((Ma-1)*Q.e*0.2)^2)</f>
        <v/>
      </c>
      <c r="H14">
        <f>M_min</f>
        <v/>
      </c>
      <c r="I14">
        <f>Max_Gain_required</f>
        <v/>
      </c>
    </row>
    <row r="15">
      <c r="A15" s="61">
        <f>A14*10^0.008</f>
        <v/>
      </c>
      <c r="B15" s="62">
        <f>2000*3.14*A15</f>
        <v/>
      </c>
      <c r="C15" s="63">
        <f>(B15/wo)^2*(Ma-1)*IF(answer,MC,1)/SQRT((1-B15^2/wp^2)^2+(B15/wo)^2*(1-B15^2/wo^2)^2*((Ma-1)*Q.e)^2)</f>
        <v/>
      </c>
      <c r="D15" s="63">
        <f>(B15/wo)^2*(Ma-1)*IF(answer,MC,1)/SQRT((1-B15^2/wp^2)^2+(B15/wo)^2*(1-B15^2/wo^2)^2*((Ma-1)*Q.e*0.8)^2)</f>
        <v/>
      </c>
      <c r="E15" s="63">
        <f>(B15/wo)^2*(Ma-1)*IF(answer,MC,1)/SQRT((1-B15^2/wp^2)^2+(B15/wo)^2*(1-B15^2/wo^2)^2*((Ma-1)*Q.e*0.6)^2)</f>
        <v/>
      </c>
      <c r="F15" s="63">
        <f>(B15/wo)^2*(Ma-1)*IF(answer,MC,1)/SQRT((1-B15^2/wp^2)^2+(B15/wo)^2*(1-B15^2/wo^2)^2*((Ma-1)*Q.e*0.4)^2)</f>
        <v/>
      </c>
      <c r="G15" s="63">
        <f>(B15/wo)^2*(Ma-1)*IF(answer,MC,1)/SQRT((1-B15^2/wp^2)^2+(B15/wo)^2*(1-B15^2/wo^2)^2*((Ma-1)*Q.e*0.2)^2)</f>
        <v/>
      </c>
      <c r="H15">
        <f>M_min</f>
        <v/>
      </c>
      <c r="I15">
        <f>Max_Gain_required</f>
        <v/>
      </c>
      <c r="O15" s="128" t="inlineStr">
        <is>
          <t>Outputs</t>
        </is>
      </c>
      <c r="P15" s="129" t="n"/>
    </row>
    <row r="16">
      <c r="A16" s="61">
        <f>A15*10^0.008</f>
        <v/>
      </c>
      <c r="B16" s="62">
        <f>2000*3.14*A16</f>
        <v/>
      </c>
      <c r="C16" s="63">
        <f>(B16/wo)^2*(Ma-1)*IF(answer,MC,1)/SQRT((1-B16^2/wp^2)^2+(B16/wo)^2*(1-B16^2/wo^2)^2*((Ma-1)*Q.e)^2)</f>
        <v/>
      </c>
      <c r="D16" s="63">
        <f>(B16/wo)^2*(Ma-1)*IF(answer,MC,1)/SQRT((1-B16^2/wp^2)^2+(B16/wo)^2*(1-B16^2/wo^2)^2*((Ma-1)*Q.e*0.8)^2)</f>
        <v/>
      </c>
      <c r="E16" s="63">
        <f>(B16/wo)^2*(Ma-1)*IF(answer,MC,1)/SQRT((1-B16^2/wp^2)^2+(B16/wo)^2*(1-B16^2/wo^2)^2*((Ma-1)*Q.e*0.6)^2)</f>
        <v/>
      </c>
      <c r="F16" s="63">
        <f>(B16/wo)^2*(Ma-1)*IF(answer,MC,1)/SQRT((1-B16^2/wp^2)^2+(B16/wo)^2*(1-B16^2/wo^2)^2*((Ma-1)*Q.e*0.4)^2)</f>
        <v/>
      </c>
      <c r="G16" s="63">
        <f>(B16/wo)^2*(Ma-1)*IF(answer,MC,1)/SQRT((1-B16^2/wp^2)^2+(B16/wo)^2*(1-B16^2/wo^2)^2*((Ma-1)*Q.e*0.2)^2)</f>
        <v/>
      </c>
      <c r="H16">
        <f>M_min</f>
        <v/>
      </c>
      <c r="I16">
        <f>Max_Gain_required</f>
        <v/>
      </c>
      <c r="O16" s="80" t="inlineStr">
        <is>
          <t>Lm=</t>
        </is>
      </c>
      <c r="P16" s="81">
        <f>SQRT(Lp^2-Lr*Lp)</f>
        <v/>
      </c>
    </row>
    <row r="17">
      <c r="A17" s="61">
        <f>A16*10^0.008</f>
        <v/>
      </c>
      <c r="B17" s="62">
        <f>2000*3.14*A17</f>
        <v/>
      </c>
      <c r="C17" s="63">
        <f>(B17/wo)^2*(Ma-1)*IF(answer,MC,1)/SQRT((1-B17^2/wp^2)^2+(B17/wo)^2*(1-B17^2/wo^2)^2*((Ma-1)*Q.e)^2)</f>
        <v/>
      </c>
      <c r="D17" s="63">
        <f>(B17/wo)^2*(Ma-1)*IF(answer,MC,1)/SQRT((1-B17^2/wp^2)^2+(B17/wo)^2*(1-B17^2/wo^2)^2*((Ma-1)*Q.e*0.8)^2)</f>
        <v/>
      </c>
      <c r="E17" s="63">
        <f>(B17/wo)^2*(Ma-1)*IF(answer,MC,1)/SQRT((1-B17^2/wp^2)^2+(B17/wo)^2*(1-B17^2/wo^2)^2*((Ma-1)*Q.e*0.6)^2)</f>
        <v/>
      </c>
      <c r="F17" s="63">
        <f>(B17/wo)^2*(Ma-1)*IF(answer,MC,1)/SQRT((1-B17^2/wp^2)^2+(B17/wo)^2*(1-B17^2/wo^2)^2*((Ma-1)*Q.e*0.4)^2)</f>
        <v/>
      </c>
      <c r="G17" s="63">
        <f>(B17/wo)^2*(Ma-1)*IF(answer,MC,1)/SQRT((1-B17^2/wp^2)^2+(B17/wo)^2*(1-B17^2/wo^2)^2*((Ma-1)*Q.e*0.2)^2)</f>
        <v/>
      </c>
      <c r="H17">
        <f>M_min</f>
        <v/>
      </c>
      <c r="I17">
        <f>Max_Gain_required</f>
        <v/>
      </c>
      <c r="O17" s="80" t="inlineStr">
        <is>
          <t>Llk=</t>
        </is>
      </c>
      <c r="P17" s="81">
        <f>Lp-SQRT(Lp^2-Lr*Lp)</f>
        <v/>
      </c>
    </row>
    <row r="18">
      <c r="A18" s="61">
        <f>A17*10^0.008</f>
        <v/>
      </c>
      <c r="B18" s="62">
        <f>2000*3.14*A18</f>
        <v/>
      </c>
      <c r="C18" s="63">
        <f>(B18/wo)^2*(Ma-1)*IF(answer,MC,1)/SQRT((1-B18^2/wp^2)^2+(B18/wo)^2*(1-B18^2/wo^2)^2*((Ma-1)*Q.e)^2)</f>
        <v/>
      </c>
      <c r="D18" s="63">
        <f>(B18/wo)^2*(Ma-1)*IF(answer,MC,1)/SQRT((1-B18^2/wp^2)^2+(B18/wo)^2*(1-B18^2/wo^2)^2*((Ma-1)*Q.e*0.8)^2)</f>
        <v/>
      </c>
      <c r="E18" s="63">
        <f>(B18/wo)^2*(Ma-1)*IF(answer,MC,1)/SQRT((1-B18^2/wp^2)^2+(B18/wo)^2*(1-B18^2/wo^2)^2*((Ma-1)*Q.e*0.6)^2)</f>
        <v/>
      </c>
      <c r="F18" s="63">
        <f>(B18/wo)^2*(Ma-1)*IF(answer,MC,1)/SQRT((1-B18^2/wp^2)^2+(B18/wo)^2*(1-B18^2/wo^2)^2*((Ma-1)*Q.e*0.4)^2)</f>
        <v/>
      </c>
      <c r="G18" s="63">
        <f>(B18/wo)^2*(Ma-1)*IF(answer,MC,1)/SQRT((1-B18^2/wp^2)^2+(B18/wo)^2*(1-B18^2/wo^2)^2*((Ma-1)*Q.e*0.2)^2)</f>
        <v/>
      </c>
      <c r="H18">
        <f>M_min</f>
        <v/>
      </c>
      <c r="I18">
        <f>Max_Gain_required</f>
        <v/>
      </c>
      <c r="O18" s="80" t="inlineStr">
        <is>
          <t>n=</t>
        </is>
      </c>
      <c r="P18" s="130">
        <f>Np/Ns</f>
        <v/>
      </c>
    </row>
    <row r="19">
      <c r="A19" s="61">
        <f>A18*10^0.008</f>
        <v/>
      </c>
      <c r="B19" s="62">
        <f>2000*3.14*A19</f>
        <v/>
      </c>
      <c r="C19" s="63">
        <f>(B19/wo)^2*(Ma-1)*IF(answer,MC,1)/SQRT((1-B19^2/wp^2)^2+(B19/wo)^2*(1-B19^2/wo^2)^2*((Ma-1)*Q.e)^2)</f>
        <v/>
      </c>
      <c r="D19" s="63">
        <f>(B19/wo)^2*(Ma-1)*IF(answer,MC,1)/SQRT((1-B19^2/wp^2)^2+(B19/wo)^2*(1-B19^2/wo^2)^2*((Ma-1)*Q.e*0.8)^2)</f>
        <v/>
      </c>
      <c r="E19" s="63">
        <f>(B19/wo)^2*(Ma-1)*IF(answer,MC,1)/SQRT((1-B19^2/wp^2)^2+(B19/wo)^2*(1-B19^2/wo^2)^2*((Ma-1)*Q.e*0.6)^2)</f>
        <v/>
      </c>
      <c r="F19" s="63">
        <f>(B19/wo)^2*(Ma-1)*IF(answer,MC,1)/SQRT((1-B19^2/wp^2)^2+(B19/wo)^2*(1-B19^2/wo^2)^2*((Ma-1)*Q.e*0.4)^2)</f>
        <v/>
      </c>
      <c r="G19" s="63">
        <f>(B19/wo)^2*(Ma-1)*IF(answer,MC,1)/SQRT((1-B19^2/wp^2)^2+(B19/wo)^2*(1-B19^2/wo^2)^2*((Ma-1)*Q.e*0.2)^2)</f>
        <v/>
      </c>
      <c r="H19">
        <f>M_min</f>
        <v/>
      </c>
      <c r="I19">
        <f>Max_Gain_required</f>
        <v/>
      </c>
      <c r="O19" s="80" t="inlineStr">
        <is>
          <t>Rac=</t>
        </is>
      </c>
      <c r="P19" s="130">
        <f>Ro*n^2*8/3.14^2</f>
        <v/>
      </c>
    </row>
    <row r="20">
      <c r="A20" s="61">
        <f>A19*10^0.008</f>
        <v/>
      </c>
      <c r="B20" s="62">
        <f>2000*3.14*A20</f>
        <v/>
      </c>
      <c r="C20" s="63">
        <f>(B20/wo)^2*(Ma-1)*IF(answer,MC,1)/SQRT((1-B20^2/wp^2)^2+(B20/wo)^2*(1-B20^2/wo^2)^2*((Ma-1)*Q.e)^2)</f>
        <v/>
      </c>
      <c r="D20" s="63">
        <f>(B20/wo)^2*(Ma-1)*IF(answer,MC,1)/SQRT((1-B20^2/wp^2)^2+(B20/wo)^2*(1-B20^2/wo^2)^2*((Ma-1)*Q.e*0.8)^2)</f>
        <v/>
      </c>
      <c r="E20" s="63">
        <f>(B20/wo)^2*(Ma-1)*IF(answer,MC,1)/SQRT((1-B20^2/wp^2)^2+(B20/wo)^2*(1-B20^2/wo^2)^2*((Ma-1)*Q.e*0.6)^2)</f>
        <v/>
      </c>
      <c r="F20" s="63">
        <f>(B20/wo)^2*(Ma-1)*IF(answer,MC,1)/SQRT((1-B20^2/wp^2)^2+(B20/wo)^2*(1-B20^2/wo^2)^2*((Ma-1)*Q.e*0.4)^2)</f>
        <v/>
      </c>
      <c r="G20" s="63">
        <f>(B20/wo)^2*(Ma-1)*IF(answer,MC,1)/SQRT((1-B20^2/wp^2)^2+(B20/wo)^2*(1-B20^2/wo^2)^2*((Ma-1)*Q.e*0.2)^2)</f>
        <v/>
      </c>
      <c r="H20">
        <f>M_min</f>
        <v/>
      </c>
      <c r="I20">
        <f>Max_Gain_required</f>
        <v/>
      </c>
      <c r="O20" s="83" t="n"/>
      <c r="P20" s="84" t="n"/>
    </row>
    <row r="21">
      <c r="A21" s="61">
        <f>A20*10^0.008</f>
        <v/>
      </c>
      <c r="B21" s="62">
        <f>2000*3.14*A21</f>
        <v/>
      </c>
      <c r="C21" s="63">
        <f>(B21/wo)^2*(Ma-1)*IF(answer,MC,1)/SQRT((1-B21^2/wp^2)^2+(B21/wo)^2*(1-B21^2/wo^2)^2*((Ma-1)*Q.e)^2)</f>
        <v/>
      </c>
      <c r="D21" s="63">
        <f>(B21/wo)^2*(Ma-1)*IF(answer,MC,1)/SQRT((1-B21^2/wp^2)^2+(B21/wo)^2*(1-B21^2/wo^2)^2*((Ma-1)*Q.e*0.8)^2)</f>
        <v/>
      </c>
      <c r="E21" s="63">
        <f>(B21/wo)^2*(Ma-1)*IF(answer,MC,1)/SQRT((1-B21^2/wp^2)^2+(B21/wo)^2*(1-B21^2/wo^2)^2*((Ma-1)*Q.e*0.6)^2)</f>
        <v/>
      </c>
      <c r="F21" s="63">
        <f>(B21/wo)^2*(Ma-1)*IF(answer,MC,1)/SQRT((1-B21^2/wp^2)^2+(B21/wo)^2*(1-B21^2/wo^2)^2*((Ma-1)*Q.e*0.4)^2)</f>
        <v/>
      </c>
      <c r="G21" s="63">
        <f>(B21/wo)^2*(Ma-1)*IF(answer,MC,1)/SQRT((1-B21^2/wp^2)^2+(B21/wo)^2*(1-B21^2/wo^2)^2*((Ma-1)*Q.e*0.2)^2)</f>
        <v/>
      </c>
      <c r="H21">
        <f>M_min</f>
        <v/>
      </c>
      <c r="I21">
        <f>Max_Gain_required</f>
        <v/>
      </c>
      <c r="O21" s="80" t="inlineStr">
        <is>
          <t>wo=</t>
        </is>
      </c>
      <c r="P21" s="131">
        <f>1/SQRT(Lr*Cr)</f>
        <v/>
      </c>
    </row>
    <row r="22">
      <c r="A22" s="61">
        <f>A21*10^0.008</f>
        <v/>
      </c>
      <c r="B22" s="62">
        <f>2000*3.14*A22</f>
        <v/>
      </c>
      <c r="C22" s="63">
        <f>(B22/wo)^2*(Ma-1)*IF(answer,MC,1)/SQRT((1-B22^2/wp^2)^2+(B22/wo)^2*(1-B22^2/wo^2)^2*((Ma-1)*Q.e)^2)</f>
        <v/>
      </c>
      <c r="D22" s="63">
        <f>(B22/wo)^2*(Ma-1)*IF(answer,MC,1)/SQRT((1-B22^2/wp^2)^2+(B22/wo)^2*(1-B22^2/wo^2)^2*((Ma-1)*Q.e*0.8)^2)</f>
        <v/>
      </c>
      <c r="E22" s="63">
        <f>(B22/wo)^2*(Ma-1)*IF(answer,MC,1)/SQRT((1-B22^2/wp^2)^2+(B22/wo)^2*(1-B22^2/wo^2)^2*((Ma-1)*Q.e*0.6)^2)</f>
        <v/>
      </c>
      <c r="F22" s="63">
        <f>(B22/wo)^2*(Ma-1)*IF(answer,MC,1)/SQRT((1-B22^2/wp^2)^2+(B22/wo)^2*(1-B22^2/wo^2)^2*((Ma-1)*Q.e*0.4)^2)</f>
        <v/>
      </c>
      <c r="G22" s="63">
        <f>(B22/wo)^2*(Ma-1)*IF(answer,MC,1)/SQRT((1-B22^2/wp^2)^2+(B22/wo)^2*(1-B22^2/wo^2)^2*((Ma-1)*Q.e*0.2)^2)</f>
        <v/>
      </c>
      <c r="H22">
        <f>M_min</f>
        <v/>
      </c>
      <c r="I22">
        <f>Max_Gain_required</f>
        <v/>
      </c>
      <c r="O22" s="80" t="inlineStr">
        <is>
          <t>wp=</t>
        </is>
      </c>
      <c r="P22" s="131">
        <f>1/SQRT(Lp*Cr)</f>
        <v/>
      </c>
    </row>
    <row r="23">
      <c r="A23" s="61">
        <f>A22*10^0.008</f>
        <v/>
      </c>
      <c r="B23" s="62">
        <f>2000*3.14*A23</f>
        <v/>
      </c>
      <c r="C23" s="63">
        <f>(B23/wo)^2*(Ma-1)*IF(answer,MC,1)/SQRT((1-B23^2/wp^2)^2+(B23/wo)^2*(1-B23^2/wo^2)^2*((Ma-1)*Q.e)^2)</f>
        <v/>
      </c>
      <c r="D23" s="63">
        <f>(B23/wo)^2*(Ma-1)*IF(answer,MC,1)/SQRT((1-B23^2/wp^2)^2+(B23/wo)^2*(1-B23^2/wo^2)^2*((Ma-1)*Q.e*0.8)^2)</f>
        <v/>
      </c>
      <c r="E23" s="63">
        <f>(B23/wo)^2*(Ma-1)*IF(answer,MC,1)/SQRT((1-B23^2/wp^2)^2+(B23/wo)^2*(1-B23^2/wo^2)^2*((Ma-1)*Q.e*0.6)^2)</f>
        <v/>
      </c>
      <c r="F23" s="63">
        <f>(B23/wo)^2*(Ma-1)*IF(answer,MC,1)/SQRT((1-B23^2/wp^2)^2+(B23/wo)^2*(1-B23^2/wo^2)^2*((Ma-1)*Q.e*0.4)^2)</f>
        <v/>
      </c>
      <c r="G23" s="63">
        <f>(B23/wo)^2*(Ma-1)*IF(answer,MC,1)/SQRT((1-B23^2/wp^2)^2+(B23/wo)^2*(1-B23^2/wo^2)^2*((Ma-1)*Q.e*0.2)^2)</f>
        <v/>
      </c>
      <c r="H23">
        <f>M_min</f>
        <v/>
      </c>
      <c r="I23">
        <f>Max_Gain_required</f>
        <v/>
      </c>
      <c r="O23" s="80" t="inlineStr">
        <is>
          <t>fo=</t>
        </is>
      </c>
      <c r="P23" s="131">
        <f>wo/2/3.14</f>
        <v/>
      </c>
    </row>
    <row r="24">
      <c r="A24" s="61">
        <f>A23*10^0.008</f>
        <v/>
      </c>
      <c r="B24" s="62">
        <f>2000*3.14*A24</f>
        <v/>
      </c>
      <c r="C24" s="63">
        <f>(B24/wo)^2*(Ma-1)*IF(answer,MC,1)/SQRT((1-B24^2/wp^2)^2+(B24/wo)^2*(1-B24^2/wo^2)^2*((Ma-1)*Q.e)^2)</f>
        <v/>
      </c>
      <c r="D24" s="63">
        <f>(B24/wo)^2*(Ma-1)*IF(answer,MC,1)/SQRT((1-B24^2/wp^2)^2+(B24/wo)^2*(1-B24^2/wo^2)^2*((Ma-1)*Q.e*0.8)^2)</f>
        <v/>
      </c>
      <c r="E24" s="63">
        <f>(B24/wo)^2*(Ma-1)*IF(answer,MC,1)/SQRT((1-B24^2/wp^2)^2+(B24/wo)^2*(1-B24^2/wo^2)^2*((Ma-1)*Q.e*0.6)^2)</f>
        <v/>
      </c>
      <c r="F24" s="63">
        <f>(B24/wo)^2*(Ma-1)*IF(answer,MC,1)/SQRT((1-B24^2/wp^2)^2+(B24/wo)^2*(1-B24^2/wo^2)^2*((Ma-1)*Q.e*0.4)^2)</f>
        <v/>
      </c>
      <c r="G24" s="63">
        <f>(B24/wo)^2*(Ma-1)*IF(answer,MC,1)/SQRT((1-B24^2/wp^2)^2+(B24/wo)^2*(1-B24^2/wo^2)^2*((Ma-1)*Q.e*0.2)^2)</f>
        <v/>
      </c>
      <c r="H24">
        <f>M_min</f>
        <v/>
      </c>
      <c r="I24">
        <f>Max_Gain_required</f>
        <v/>
      </c>
      <c r="O24" s="80" t="inlineStr">
        <is>
          <t>fp=</t>
        </is>
      </c>
      <c r="P24" s="131">
        <f>wm/2/3.14</f>
        <v/>
      </c>
    </row>
    <row r="25">
      <c r="A25" s="61">
        <f>A24*10^0.008</f>
        <v/>
      </c>
      <c r="B25" s="62">
        <f>2000*3.14*A25</f>
        <v/>
      </c>
      <c r="C25" s="63">
        <f>(B25/wo)^2*(Ma-1)*IF(answer,MC,1)/SQRT((1-B25^2/wp^2)^2+(B25/wo)^2*(1-B25^2/wo^2)^2*((Ma-1)*Q.e)^2)</f>
        <v/>
      </c>
      <c r="D25" s="63">
        <f>(B25/wo)^2*(Ma-1)*IF(answer,MC,1)/SQRT((1-B25^2/wp^2)^2+(B25/wo)^2*(1-B25^2/wo^2)^2*((Ma-1)*Q.e*0.8)^2)</f>
        <v/>
      </c>
      <c r="E25" s="63">
        <f>(B25/wo)^2*(Ma-1)*IF(answer,MC,1)/SQRT((1-B25^2/wp^2)^2+(B25/wo)^2*(1-B25^2/wo^2)^2*((Ma-1)*Q.e*0.6)^2)</f>
        <v/>
      </c>
      <c r="F25" s="63">
        <f>(B25/wo)^2*(Ma-1)*IF(answer,MC,1)/SQRT((1-B25^2/wp^2)^2+(B25/wo)^2*(1-B25^2/wo^2)^2*((Ma-1)*Q.e*0.4)^2)</f>
        <v/>
      </c>
      <c r="G25" s="63">
        <f>(B25/wo)^2*(Ma-1)*IF(answer,MC,1)/SQRT((1-B25^2/wp^2)^2+(B25/wo)^2*(1-B25^2/wo^2)^2*((Ma-1)*Q.e*0.2)^2)</f>
        <v/>
      </c>
      <c r="H25">
        <f>M_min</f>
        <v/>
      </c>
      <c r="I25">
        <f>Max_Gain_required</f>
        <v/>
      </c>
      <c r="O25" s="83" t="n"/>
      <c r="P25" s="84" t="n"/>
    </row>
    <row r="26">
      <c r="A26" s="61">
        <f>A25*10^0.008</f>
        <v/>
      </c>
      <c r="B26" s="62">
        <f>2000*3.14*A26</f>
        <v/>
      </c>
      <c r="C26" s="63">
        <f>(B26/wo)^2*(Ma-1)*IF(answer,MC,1)/SQRT((1-B26^2/wp^2)^2+(B26/wo)^2*(1-B26^2/wo^2)^2*((Ma-1)*Q.e)^2)</f>
        <v/>
      </c>
      <c r="D26" s="63">
        <f>(B26/wo)^2*(Ma-1)*IF(answer,MC,1)/SQRT((1-B26^2/wp^2)^2+(B26/wo)^2*(1-B26^2/wo^2)^2*((Ma-1)*Q.e*0.8)^2)</f>
        <v/>
      </c>
      <c r="E26" s="63">
        <f>(B26/wo)^2*(Ma-1)*IF(answer,MC,1)/SQRT((1-B26^2/wp^2)^2+(B26/wo)^2*(1-B26^2/wo^2)^2*((Ma-1)*Q.e*0.6)^2)</f>
        <v/>
      </c>
      <c r="F26" s="63">
        <f>(B26/wo)^2*(Ma-1)*IF(answer,MC,1)/SQRT((1-B26^2/wp^2)^2+(B26/wo)^2*(1-B26^2/wo^2)^2*((Ma-1)*Q.e*0.4)^2)</f>
        <v/>
      </c>
      <c r="G26" s="63">
        <f>(B26/wo)^2*(Ma-1)*IF(answer,MC,1)/SQRT((1-B26^2/wp^2)^2+(B26/wo)^2*(1-B26^2/wo^2)^2*((Ma-1)*Q.e*0.2)^2)</f>
        <v/>
      </c>
      <c r="H26">
        <f>M_min</f>
        <v/>
      </c>
      <c r="I26">
        <f>Max_Gain_required</f>
        <v/>
      </c>
      <c r="O26" s="80" t="inlineStr">
        <is>
          <t>Q=</t>
        </is>
      </c>
      <c r="P26" s="132">
        <f>SQRT(Lr/Cr)/Rac</f>
        <v/>
      </c>
    </row>
    <row r="27">
      <c r="A27" s="61">
        <f>A26*10^0.008</f>
        <v/>
      </c>
      <c r="B27" s="62">
        <f>2000*3.14*A27</f>
        <v/>
      </c>
      <c r="C27" s="63">
        <f>(B27/wo)^2*(Ma-1)*IF(answer,MC,1)/SQRT((1-B27^2/wp^2)^2+(B27/wo)^2*(1-B27^2/wo^2)^2*((Ma-1)*Q.e)^2)</f>
        <v/>
      </c>
      <c r="D27" s="63">
        <f>(B27/wo)^2*(Ma-1)*IF(answer,MC,1)/SQRT((1-B27^2/wp^2)^2+(B27/wo)^2*(1-B27^2/wo^2)^2*((Ma-1)*Q.e*0.8)^2)</f>
        <v/>
      </c>
      <c r="E27" s="63">
        <f>(B27/wo)^2*(Ma-1)*IF(answer,MC,1)/SQRT((1-B27^2/wp^2)^2+(B27/wo)^2*(1-B27^2/wo^2)^2*((Ma-1)*Q.e*0.6)^2)</f>
        <v/>
      </c>
      <c r="F27" s="63">
        <f>(B27/wo)^2*(Ma-1)*IF(answer,MC,1)/SQRT((1-B27^2/wp^2)^2+(B27/wo)^2*(1-B27^2/wo^2)^2*((Ma-1)*Q.e*0.4)^2)</f>
        <v/>
      </c>
      <c r="G27" s="63">
        <f>(B27/wo)^2*(Ma-1)*IF(answer,MC,1)/SQRT((1-B27^2/wp^2)^2+(B27/wo)^2*(1-B27^2/wo^2)^2*((Ma-1)*Q.e*0.2)^2)</f>
        <v/>
      </c>
      <c r="H27">
        <f>M_min</f>
        <v/>
      </c>
      <c r="I27">
        <f>Max_Gain_required</f>
        <v/>
      </c>
      <c r="O27" s="80" t="inlineStr">
        <is>
          <t>Qp</t>
        </is>
      </c>
      <c r="P27" s="132">
        <f>SQRT(Lp/Cr)/Rac</f>
        <v/>
      </c>
    </row>
    <row r="28">
      <c r="A28" s="61">
        <f>A27*10^0.008</f>
        <v/>
      </c>
      <c r="B28" s="62">
        <f>2000*3.14*A28</f>
        <v/>
      </c>
      <c r="C28" s="63">
        <f>(B28/wo)^2*(Ma-1)*IF(answer,MC,1)/SQRT((1-B28^2/wp^2)^2+(B28/wo)^2*(1-B28^2/wo^2)^2*((Ma-1)*Q.e)^2)</f>
        <v/>
      </c>
      <c r="D28" s="63">
        <f>(B28/wo)^2*(Ma-1)*IF(answer,MC,1)/SQRT((1-B28^2/wp^2)^2+(B28/wo)^2*(1-B28^2/wo^2)^2*((Ma-1)*Q.e*0.8)^2)</f>
        <v/>
      </c>
      <c r="E28" s="63">
        <f>(B28/wo)^2*(Ma-1)*IF(answer,MC,1)/SQRT((1-B28^2/wp^2)^2+(B28/wo)^2*(1-B28^2/wo^2)^2*((Ma-1)*Q.e*0.6)^2)</f>
        <v/>
      </c>
      <c r="F28" s="63">
        <f>(B28/wo)^2*(Ma-1)*IF(answer,MC,1)/SQRT((1-B28^2/wp^2)^2+(B28/wo)^2*(1-B28^2/wo^2)^2*((Ma-1)*Q.e*0.4)^2)</f>
        <v/>
      </c>
      <c r="G28" s="63">
        <f>(B28/wo)^2*(Ma-1)*IF(answer,MC,1)/SQRT((1-B28^2/wp^2)^2+(B28/wo)^2*(1-B28^2/wo^2)^2*((Ma-1)*Q.e*0.2)^2)</f>
        <v/>
      </c>
      <c r="H28">
        <f>M_min</f>
        <v/>
      </c>
      <c r="I28">
        <f>Max_Gain_required</f>
        <v/>
      </c>
      <c r="O28" s="80" t="inlineStr">
        <is>
          <t>m</t>
        </is>
      </c>
      <c r="P28" s="132">
        <f>Lp/Lr</f>
        <v/>
      </c>
    </row>
    <row r="29">
      <c r="A29" s="61">
        <f>A28*10^0.008</f>
        <v/>
      </c>
      <c r="B29" s="62">
        <f>2000*3.14*A29</f>
        <v/>
      </c>
      <c r="C29" s="63">
        <f>(B29/wo)^2*(Ma-1)*IF(answer,MC,1)/SQRT((1-B29^2/wp^2)^2+(B29/wo)^2*(1-B29^2/wo^2)^2*((Ma-1)*Q.e)^2)</f>
        <v/>
      </c>
      <c r="D29" s="63">
        <f>(B29/wo)^2*(Ma-1)*IF(answer,MC,1)/SQRT((1-B29^2/wp^2)^2+(B29/wo)^2*(1-B29^2/wo^2)^2*((Ma-1)*Q.e*0.8)^2)</f>
        <v/>
      </c>
      <c r="E29" s="63">
        <f>(B29/wo)^2*(Ma-1)*IF(answer,MC,1)/SQRT((1-B29^2/wp^2)^2+(B29/wo)^2*(1-B29^2/wo^2)^2*((Ma-1)*Q.e*0.6)^2)</f>
        <v/>
      </c>
      <c r="F29" s="63">
        <f>(B29/wo)^2*(Ma-1)*IF(answer,MC,1)/SQRT((1-B29^2/wp^2)^2+(B29/wo)^2*(1-B29^2/wo^2)^2*((Ma-1)*Q.e*0.4)^2)</f>
        <v/>
      </c>
      <c r="G29" s="63">
        <f>(B29/wo)^2*(Ma-1)*IF(answer,MC,1)/SQRT((1-B29^2/wp^2)^2+(B29/wo)^2*(1-B29^2/wo^2)^2*((Ma-1)*Q.e*0.2)^2)</f>
        <v/>
      </c>
      <c r="H29">
        <f>M_min</f>
        <v/>
      </c>
      <c r="I29">
        <f>Max_Gain_required</f>
        <v/>
      </c>
    </row>
    <row r="30">
      <c r="A30" s="61">
        <f>A29*10^0.008</f>
        <v/>
      </c>
      <c r="B30" s="62">
        <f>2000*3.14*A30</f>
        <v/>
      </c>
      <c r="C30" s="63">
        <f>(B30/wo)^2*(Ma-1)*IF(answer,MC,1)/SQRT((1-B30^2/wp^2)^2+(B30/wo)^2*(1-B30^2/wo^2)^2*((Ma-1)*Q.e)^2)</f>
        <v/>
      </c>
      <c r="D30" s="63">
        <f>(B30/wo)^2*(Ma-1)*IF(answer,MC,1)/SQRT((1-B30^2/wp^2)^2+(B30/wo)^2*(1-B30^2/wo^2)^2*((Ma-1)*Q.e*0.8)^2)</f>
        <v/>
      </c>
      <c r="E30" s="63">
        <f>(B30/wo)^2*(Ma-1)*IF(answer,MC,1)/SQRT((1-B30^2/wp^2)^2+(B30/wo)^2*(1-B30^2/wo^2)^2*((Ma-1)*Q.e*0.6)^2)</f>
        <v/>
      </c>
      <c r="F30" s="63">
        <f>(B30/wo)^2*(Ma-1)*IF(answer,MC,1)/SQRT((1-B30^2/wp^2)^2+(B30/wo)^2*(1-B30^2/wo^2)^2*((Ma-1)*Q.e*0.4)^2)</f>
        <v/>
      </c>
      <c r="G30" s="63">
        <f>(B30/wo)^2*(Ma-1)*IF(answer,MC,1)/SQRT((1-B30^2/wp^2)^2+(B30/wo)^2*(1-B30^2/wo^2)^2*((Ma-1)*Q.e*0.2)^2)</f>
        <v/>
      </c>
      <c r="H30">
        <f>M_min</f>
        <v/>
      </c>
      <c r="I30">
        <f>Max_Gain_required</f>
        <v/>
      </c>
    </row>
    <row r="31">
      <c r="A31" s="61">
        <f>A30*10^0.008</f>
        <v/>
      </c>
      <c r="B31" s="62">
        <f>2000*3.14*A31</f>
        <v/>
      </c>
      <c r="C31" s="63">
        <f>(B31/wo)^2*(Ma-1)*IF(answer,MC,1)/SQRT((1-B31^2/wp^2)^2+(B31/wo)^2*(1-B31^2/wo^2)^2*((Ma-1)*Q.e)^2)</f>
        <v/>
      </c>
      <c r="D31" s="63">
        <f>(B31/wo)^2*(Ma-1)*IF(answer,MC,1)/SQRT((1-B31^2/wp^2)^2+(B31/wo)^2*(1-B31^2/wo^2)^2*((Ma-1)*Q.e*0.8)^2)</f>
        <v/>
      </c>
      <c r="E31" s="63">
        <f>(B31/wo)^2*(Ma-1)*IF(answer,MC,1)/SQRT((1-B31^2/wp^2)^2+(B31/wo)^2*(1-B31^2/wo^2)^2*((Ma-1)*Q.e*0.6)^2)</f>
        <v/>
      </c>
      <c r="F31" s="63">
        <f>(B31/wo)^2*(Ma-1)*IF(answer,MC,1)/SQRT((1-B31^2/wp^2)^2+(B31/wo)^2*(1-B31^2/wo^2)^2*((Ma-1)*Q.e*0.4)^2)</f>
        <v/>
      </c>
      <c r="G31" s="63">
        <f>(B31/wo)^2*(Ma-1)*IF(answer,MC,1)/SQRT((1-B31^2/wp^2)^2+(B31/wo)^2*(1-B31^2/wo^2)^2*((Ma-1)*Q.e*0.2)^2)</f>
        <v/>
      </c>
      <c r="H31">
        <f>M_min</f>
        <v/>
      </c>
      <c r="I31">
        <f>Max_Gain_required</f>
        <v/>
      </c>
    </row>
    <row r="32">
      <c r="A32" s="61">
        <f>A31*10^0.008</f>
        <v/>
      </c>
      <c r="B32" s="62">
        <f>2000*3.14*A32</f>
        <v/>
      </c>
      <c r="C32" s="63">
        <f>(B32/wo)^2*(Ma-1)*IF(answer,MC,1)/SQRT((1-B32^2/wp^2)^2+(B32/wo)^2*(1-B32^2/wo^2)^2*((Ma-1)*Q.e)^2)</f>
        <v/>
      </c>
      <c r="D32" s="63">
        <f>(B32/wo)^2*(Ma-1)*IF(answer,MC,1)/SQRT((1-B32^2/wp^2)^2+(B32/wo)^2*(1-B32^2/wo^2)^2*((Ma-1)*Q.e*0.8)^2)</f>
        <v/>
      </c>
      <c r="E32" s="63">
        <f>(B32/wo)^2*(Ma-1)*IF(answer,MC,1)/SQRT((1-B32^2/wp^2)^2+(B32/wo)^2*(1-B32^2/wo^2)^2*((Ma-1)*Q.e*0.6)^2)</f>
        <v/>
      </c>
      <c r="F32" s="63">
        <f>(B32/wo)^2*(Ma-1)*IF(answer,MC,1)/SQRT((1-B32^2/wp^2)^2+(B32/wo)^2*(1-B32^2/wo^2)^2*((Ma-1)*Q.e*0.4)^2)</f>
        <v/>
      </c>
      <c r="G32" s="63">
        <f>(B32/wo)^2*(Ma-1)*IF(answer,MC,1)/SQRT((1-B32^2/wp^2)^2+(B32/wo)^2*(1-B32^2/wo^2)^2*((Ma-1)*Q.e*0.2)^2)</f>
        <v/>
      </c>
      <c r="H32">
        <f>M_min</f>
        <v/>
      </c>
      <c r="I32">
        <f>Max_Gain_required</f>
        <v/>
      </c>
    </row>
    <row r="33">
      <c r="A33" s="61">
        <f>A32*10^0.008</f>
        <v/>
      </c>
      <c r="B33" s="62">
        <f>2000*3.14*A33</f>
        <v/>
      </c>
      <c r="C33" s="63">
        <f>(B33/wo)^2*(Ma-1)*IF(answer,MC,1)/SQRT((1-B33^2/wp^2)^2+(B33/wo)^2*(1-B33^2/wo^2)^2*((Ma-1)*Q.e)^2)</f>
        <v/>
      </c>
      <c r="D33" s="63">
        <f>(B33/wo)^2*(Ma-1)*IF(answer,MC,1)/SQRT((1-B33^2/wp^2)^2+(B33/wo)^2*(1-B33^2/wo^2)^2*((Ma-1)*Q.e*0.8)^2)</f>
        <v/>
      </c>
      <c r="E33" s="63">
        <f>(B33/wo)^2*(Ma-1)*IF(answer,MC,1)/SQRT((1-B33^2/wp^2)^2+(B33/wo)^2*(1-B33^2/wo^2)^2*((Ma-1)*Q.e*0.6)^2)</f>
        <v/>
      </c>
      <c r="F33" s="63">
        <f>(B33/wo)^2*(Ma-1)*IF(answer,MC,1)/SQRT((1-B33^2/wp^2)^2+(B33/wo)^2*(1-B33^2/wo^2)^2*((Ma-1)*Q.e*0.4)^2)</f>
        <v/>
      </c>
      <c r="G33" s="63">
        <f>(B33/wo)^2*(Ma-1)*IF(answer,MC,1)/SQRT((1-B33^2/wp^2)^2+(B33/wo)^2*(1-B33^2/wo^2)^2*((Ma-1)*Q.e*0.2)^2)</f>
        <v/>
      </c>
      <c r="H33">
        <f>M_min</f>
        <v/>
      </c>
      <c r="I33">
        <f>Max_Gain_required</f>
        <v/>
      </c>
    </row>
    <row r="34">
      <c r="A34" s="61">
        <f>A33*10^0.008</f>
        <v/>
      </c>
      <c r="B34" s="62">
        <f>2000*3.14*A34</f>
        <v/>
      </c>
      <c r="C34" s="63">
        <f>(B34/wo)^2*(Ma-1)*IF(answer,MC,1)/SQRT((1-B34^2/wp^2)^2+(B34/wo)^2*(1-B34^2/wo^2)^2*((Ma-1)*Q.e)^2)</f>
        <v/>
      </c>
      <c r="D34" s="63">
        <f>(B34/wo)^2*(Ma-1)*IF(answer,MC,1)/SQRT((1-B34^2/wp^2)^2+(B34/wo)^2*(1-B34^2/wo^2)^2*((Ma-1)*Q.e*0.8)^2)</f>
        <v/>
      </c>
      <c r="E34" s="63">
        <f>(B34/wo)^2*(Ma-1)*IF(answer,MC,1)/SQRT((1-B34^2/wp^2)^2+(B34/wo)^2*(1-B34^2/wo^2)^2*((Ma-1)*Q.e*0.6)^2)</f>
        <v/>
      </c>
      <c r="F34" s="63">
        <f>(B34/wo)^2*(Ma-1)*IF(answer,MC,1)/SQRT((1-B34^2/wp^2)^2+(B34/wo)^2*(1-B34^2/wo^2)^2*((Ma-1)*Q.e*0.4)^2)</f>
        <v/>
      </c>
      <c r="G34" s="63">
        <f>(B34/wo)^2*(Ma-1)*IF(answer,MC,1)/SQRT((1-B34^2/wp^2)^2+(B34/wo)^2*(1-B34^2/wo^2)^2*((Ma-1)*Q.e*0.2)^2)</f>
        <v/>
      </c>
      <c r="H34">
        <f>M_min</f>
        <v/>
      </c>
      <c r="I34">
        <f>Max_Gain_required</f>
        <v/>
      </c>
    </row>
    <row r="35">
      <c r="A35" s="61">
        <f>A34*10^0.008</f>
        <v/>
      </c>
      <c r="B35" s="62">
        <f>2000*3.14*A35</f>
        <v/>
      </c>
      <c r="C35" s="63">
        <f>(B35/wo)^2*(Ma-1)*IF(answer,MC,1)/SQRT((1-B35^2/wp^2)^2+(B35/wo)^2*(1-B35^2/wo^2)^2*((Ma-1)*Q.e)^2)</f>
        <v/>
      </c>
      <c r="D35" s="63">
        <f>(B35/wo)^2*(Ma-1)*IF(answer,MC,1)/SQRT((1-B35^2/wp^2)^2+(B35/wo)^2*(1-B35^2/wo^2)^2*((Ma-1)*Q.e*0.8)^2)</f>
        <v/>
      </c>
      <c r="E35" s="63">
        <f>(B35/wo)^2*(Ma-1)*IF(answer,MC,1)/SQRT((1-B35^2/wp^2)^2+(B35/wo)^2*(1-B35^2/wo^2)^2*((Ma-1)*Q.e*0.6)^2)</f>
        <v/>
      </c>
      <c r="F35" s="63">
        <f>(B35/wo)^2*(Ma-1)*IF(answer,MC,1)/SQRT((1-B35^2/wp^2)^2+(B35/wo)^2*(1-B35^2/wo^2)^2*((Ma-1)*Q.e*0.4)^2)</f>
        <v/>
      </c>
      <c r="G35" s="63">
        <f>(B35/wo)^2*(Ma-1)*IF(answer,MC,1)/SQRT((1-B35^2/wp^2)^2+(B35/wo)^2*(1-B35^2/wo^2)^2*((Ma-1)*Q.e*0.2)^2)</f>
        <v/>
      </c>
      <c r="H35">
        <f>M_min</f>
        <v/>
      </c>
      <c r="I35">
        <f>Max_Gain_required</f>
        <v/>
      </c>
    </row>
    <row r="36">
      <c r="A36" s="61">
        <f>A35*10^0.008</f>
        <v/>
      </c>
      <c r="B36" s="62">
        <f>2000*3.14*A36</f>
        <v/>
      </c>
      <c r="C36" s="63">
        <f>(B36/wo)^2*(Ma-1)*IF(answer,MC,1)/SQRT((1-B36^2/wp^2)^2+(B36/wo)^2*(1-B36^2/wo^2)^2*((Ma-1)*Q.e)^2)</f>
        <v/>
      </c>
      <c r="D36" s="63">
        <f>(B36/wo)^2*(Ma-1)*IF(answer,MC,1)/SQRT((1-B36^2/wp^2)^2+(B36/wo)^2*(1-B36^2/wo^2)^2*((Ma-1)*Q.e*0.8)^2)</f>
        <v/>
      </c>
      <c r="E36" s="63">
        <f>(B36/wo)^2*(Ma-1)*IF(answer,MC,1)/SQRT((1-B36^2/wp^2)^2+(B36/wo)^2*(1-B36^2/wo^2)^2*((Ma-1)*Q.e*0.6)^2)</f>
        <v/>
      </c>
      <c r="F36" s="63">
        <f>(B36/wo)^2*(Ma-1)*IF(answer,MC,1)/SQRT((1-B36^2/wp^2)^2+(B36/wo)^2*(1-B36^2/wo^2)^2*((Ma-1)*Q.e*0.4)^2)</f>
        <v/>
      </c>
      <c r="G36" s="63">
        <f>(B36/wo)^2*(Ma-1)*IF(answer,MC,1)/SQRT((1-B36^2/wp^2)^2+(B36/wo)^2*(1-B36^2/wo^2)^2*((Ma-1)*Q.e*0.2)^2)</f>
        <v/>
      </c>
      <c r="H36">
        <f>M_min</f>
        <v/>
      </c>
      <c r="I36">
        <f>Max_Gain_required</f>
        <v/>
      </c>
    </row>
    <row r="37">
      <c r="A37" s="61">
        <f>A36*10^0.008</f>
        <v/>
      </c>
      <c r="B37" s="62">
        <f>2000*3.14*A37</f>
        <v/>
      </c>
      <c r="C37" s="63">
        <f>(B37/wo)^2*(Ma-1)*IF(answer,MC,1)/SQRT((1-B37^2/wp^2)^2+(B37/wo)^2*(1-B37^2/wo^2)^2*((Ma-1)*Q.e)^2)</f>
        <v/>
      </c>
      <c r="D37" s="63">
        <f>(B37/wo)^2*(Ma-1)*IF(answer,MC,1)/SQRT((1-B37^2/wp^2)^2+(B37/wo)^2*(1-B37^2/wo^2)^2*((Ma-1)*Q.e*0.8)^2)</f>
        <v/>
      </c>
      <c r="E37" s="63">
        <f>(B37/wo)^2*(Ma-1)*IF(answer,MC,1)/SQRT((1-B37^2/wp^2)^2+(B37/wo)^2*(1-B37^2/wo^2)^2*((Ma-1)*Q.e*0.6)^2)</f>
        <v/>
      </c>
      <c r="F37" s="63">
        <f>(B37/wo)^2*(Ma-1)*IF(answer,MC,1)/SQRT((1-B37^2/wp^2)^2+(B37/wo)^2*(1-B37^2/wo^2)^2*((Ma-1)*Q.e*0.4)^2)</f>
        <v/>
      </c>
      <c r="G37" s="63">
        <f>(B37/wo)^2*(Ma-1)*IF(answer,MC,1)/SQRT((1-B37^2/wp^2)^2+(B37/wo)^2*(1-B37^2/wo^2)^2*((Ma-1)*Q.e*0.2)^2)</f>
        <v/>
      </c>
      <c r="H37">
        <f>M_min</f>
        <v/>
      </c>
      <c r="I37">
        <f>Max_Gain_required</f>
        <v/>
      </c>
    </row>
    <row r="38">
      <c r="A38" s="61">
        <f>A37*10^0.008</f>
        <v/>
      </c>
      <c r="B38" s="62">
        <f>2000*3.14*A38</f>
        <v/>
      </c>
      <c r="C38" s="63">
        <f>(B38/wo)^2*(Ma-1)*IF(answer,MC,1)/SQRT((1-B38^2/wp^2)^2+(B38/wo)^2*(1-B38^2/wo^2)^2*((Ma-1)*Q.e)^2)</f>
        <v/>
      </c>
      <c r="D38" s="63">
        <f>(B38/wo)^2*(Ma-1)*IF(answer,MC,1)/SQRT((1-B38^2/wp^2)^2+(B38/wo)^2*(1-B38^2/wo^2)^2*((Ma-1)*Q.e*0.8)^2)</f>
        <v/>
      </c>
      <c r="E38" s="63">
        <f>(B38/wo)^2*(Ma-1)*IF(answer,MC,1)/SQRT((1-B38^2/wp^2)^2+(B38/wo)^2*(1-B38^2/wo^2)^2*((Ma-1)*Q.e*0.6)^2)</f>
        <v/>
      </c>
      <c r="F38" s="63">
        <f>(B38/wo)^2*(Ma-1)*IF(answer,MC,1)/SQRT((1-B38^2/wp^2)^2+(B38/wo)^2*(1-B38^2/wo^2)^2*((Ma-1)*Q.e*0.4)^2)</f>
        <v/>
      </c>
      <c r="G38" s="63">
        <f>(B38/wo)^2*(Ma-1)*IF(answer,MC,1)/SQRT((1-B38^2/wp^2)^2+(B38/wo)^2*(1-B38^2/wo^2)^2*((Ma-1)*Q.e*0.2)^2)</f>
        <v/>
      </c>
      <c r="H38">
        <f>M_min</f>
        <v/>
      </c>
      <c r="I38">
        <f>Max_Gain_required</f>
        <v/>
      </c>
    </row>
    <row r="39">
      <c r="A39" s="61">
        <f>A38*10^0.008</f>
        <v/>
      </c>
      <c r="B39" s="62">
        <f>2000*3.14*A39</f>
        <v/>
      </c>
      <c r="C39" s="63">
        <f>(B39/wo)^2*(Ma-1)*IF(answer,MC,1)/SQRT((1-B39^2/wp^2)^2+(B39/wo)^2*(1-B39^2/wo^2)^2*((Ma-1)*Q.e)^2)</f>
        <v/>
      </c>
      <c r="D39" s="63">
        <f>(B39/wo)^2*(Ma-1)*IF(answer,MC,1)/SQRT((1-B39^2/wp^2)^2+(B39/wo)^2*(1-B39^2/wo^2)^2*((Ma-1)*Q.e*0.8)^2)</f>
        <v/>
      </c>
      <c r="E39" s="63">
        <f>(B39/wo)^2*(Ma-1)*IF(answer,MC,1)/SQRT((1-B39^2/wp^2)^2+(B39/wo)^2*(1-B39^2/wo^2)^2*((Ma-1)*Q.e*0.6)^2)</f>
        <v/>
      </c>
      <c r="F39" s="63">
        <f>(B39/wo)^2*(Ma-1)*IF(answer,MC,1)/SQRT((1-B39^2/wp^2)^2+(B39/wo)^2*(1-B39^2/wo^2)^2*((Ma-1)*Q.e*0.4)^2)</f>
        <v/>
      </c>
      <c r="G39" s="63">
        <f>(B39/wo)^2*(Ma-1)*IF(answer,MC,1)/SQRT((1-B39^2/wp^2)^2+(B39/wo)^2*(1-B39^2/wo^2)^2*((Ma-1)*Q.e*0.2)^2)</f>
        <v/>
      </c>
      <c r="H39">
        <f>M_min</f>
        <v/>
      </c>
      <c r="I39">
        <f>Max_Gain_required</f>
        <v/>
      </c>
    </row>
    <row r="40">
      <c r="A40" s="61">
        <f>A39*10^0.008</f>
        <v/>
      </c>
      <c r="B40" s="62">
        <f>2000*3.14*A40</f>
        <v/>
      </c>
      <c r="C40" s="63">
        <f>(B40/wo)^2*(Ma-1)*IF(answer,MC,1)/SQRT((1-B40^2/wp^2)^2+(B40/wo)^2*(1-B40^2/wo^2)^2*((Ma-1)*Q.e)^2)</f>
        <v/>
      </c>
      <c r="D40" s="63">
        <f>(B40/wo)^2*(Ma-1)*IF(answer,MC,1)/SQRT((1-B40^2/wp^2)^2+(B40/wo)^2*(1-B40^2/wo^2)^2*((Ma-1)*Q.e*0.8)^2)</f>
        <v/>
      </c>
      <c r="E40" s="63">
        <f>(B40/wo)^2*(Ma-1)*IF(answer,MC,1)/SQRT((1-B40^2/wp^2)^2+(B40/wo)^2*(1-B40^2/wo^2)^2*((Ma-1)*Q.e*0.6)^2)</f>
        <v/>
      </c>
      <c r="F40" s="63">
        <f>(B40/wo)^2*(Ma-1)*IF(answer,MC,1)/SQRT((1-B40^2/wp^2)^2+(B40/wo)^2*(1-B40^2/wo^2)^2*((Ma-1)*Q.e*0.4)^2)</f>
        <v/>
      </c>
      <c r="G40" s="63">
        <f>(B40/wo)^2*(Ma-1)*IF(answer,MC,1)/SQRT((1-B40^2/wp^2)^2+(B40/wo)^2*(1-B40^2/wo^2)^2*((Ma-1)*Q.e*0.2)^2)</f>
        <v/>
      </c>
      <c r="H40">
        <f>M_min</f>
        <v/>
      </c>
      <c r="I40">
        <f>Max_Gain_required</f>
        <v/>
      </c>
    </row>
    <row r="41">
      <c r="A41" s="61">
        <f>A40*10^0.008</f>
        <v/>
      </c>
      <c r="B41" s="62">
        <f>2000*3.14*A41</f>
        <v/>
      </c>
      <c r="C41" s="63">
        <f>(B41/wo)^2*(Ma-1)*IF(answer,MC,1)/SQRT((1-B41^2/wp^2)^2+(B41/wo)^2*(1-B41^2/wo^2)^2*((Ma-1)*Q.e)^2)</f>
        <v/>
      </c>
      <c r="D41" s="63">
        <f>(B41/wo)^2*(Ma-1)*IF(answer,MC,1)/SQRT((1-B41^2/wp^2)^2+(B41/wo)^2*(1-B41^2/wo^2)^2*((Ma-1)*Q.e*0.8)^2)</f>
        <v/>
      </c>
      <c r="E41" s="63">
        <f>(B41/wo)^2*(Ma-1)*IF(answer,MC,1)/SQRT((1-B41^2/wp^2)^2+(B41/wo)^2*(1-B41^2/wo^2)^2*((Ma-1)*Q.e*0.6)^2)</f>
        <v/>
      </c>
      <c r="F41" s="63">
        <f>(B41/wo)^2*(Ma-1)*IF(answer,MC,1)/SQRT((1-B41^2/wp^2)^2+(B41/wo)^2*(1-B41^2/wo^2)^2*((Ma-1)*Q.e*0.4)^2)</f>
        <v/>
      </c>
      <c r="G41" s="63">
        <f>(B41/wo)^2*(Ma-1)*IF(answer,MC,1)/SQRT((1-B41^2/wp^2)^2+(B41/wo)^2*(1-B41^2/wo^2)^2*((Ma-1)*Q.e*0.2)^2)</f>
        <v/>
      </c>
      <c r="H41">
        <f>M_min</f>
        <v/>
      </c>
      <c r="I41">
        <f>Max_Gain_required</f>
        <v/>
      </c>
    </row>
    <row r="42">
      <c r="A42" s="61">
        <f>A41*10^0.008</f>
        <v/>
      </c>
      <c r="B42" s="62">
        <f>2000*3.14*A42</f>
        <v/>
      </c>
      <c r="C42" s="63">
        <f>(B42/wo)^2*(Ma-1)*IF(answer,MC,1)/SQRT((1-B42^2/wp^2)^2+(B42/wo)^2*(1-B42^2/wo^2)^2*((Ma-1)*Q.e)^2)</f>
        <v/>
      </c>
      <c r="D42" s="63">
        <f>(B42/wo)^2*(Ma-1)*IF(answer,MC,1)/SQRT((1-B42^2/wp^2)^2+(B42/wo)^2*(1-B42^2/wo^2)^2*((Ma-1)*Q.e*0.8)^2)</f>
        <v/>
      </c>
      <c r="E42" s="63">
        <f>(B42/wo)^2*(Ma-1)*IF(answer,MC,1)/SQRT((1-B42^2/wp^2)^2+(B42/wo)^2*(1-B42^2/wo^2)^2*((Ma-1)*Q.e*0.6)^2)</f>
        <v/>
      </c>
      <c r="F42" s="63">
        <f>(B42/wo)^2*(Ma-1)*IF(answer,MC,1)/SQRT((1-B42^2/wp^2)^2+(B42/wo)^2*(1-B42^2/wo^2)^2*((Ma-1)*Q.e*0.4)^2)</f>
        <v/>
      </c>
      <c r="G42" s="63">
        <f>(B42/wo)^2*(Ma-1)*IF(answer,MC,1)/SQRT((1-B42^2/wp^2)^2+(B42/wo)^2*(1-B42^2/wo^2)^2*((Ma-1)*Q.e*0.2)^2)</f>
        <v/>
      </c>
      <c r="H42">
        <f>M_min</f>
        <v/>
      </c>
      <c r="I42">
        <f>Max_Gain_required</f>
        <v/>
      </c>
    </row>
    <row r="43">
      <c r="A43" s="61">
        <f>A42*10^0.008</f>
        <v/>
      </c>
      <c r="B43" s="62">
        <f>2000*3.14*A43</f>
        <v/>
      </c>
      <c r="C43" s="63">
        <f>(B43/wo)^2*(Ma-1)*IF(answer,MC,1)/SQRT((1-B43^2/wp^2)^2+(B43/wo)^2*(1-B43^2/wo^2)^2*((Ma-1)*Q.e)^2)</f>
        <v/>
      </c>
      <c r="D43" s="63">
        <f>(B43/wo)^2*(Ma-1)*IF(answer,MC,1)/SQRT((1-B43^2/wp^2)^2+(B43/wo)^2*(1-B43^2/wo^2)^2*((Ma-1)*Q.e*0.8)^2)</f>
        <v/>
      </c>
      <c r="E43" s="63">
        <f>(B43/wo)^2*(Ma-1)*IF(answer,MC,1)/SQRT((1-B43^2/wp^2)^2+(B43/wo)^2*(1-B43^2/wo^2)^2*((Ma-1)*Q.e*0.6)^2)</f>
        <v/>
      </c>
      <c r="F43" s="63">
        <f>(B43/wo)^2*(Ma-1)*IF(answer,MC,1)/SQRT((1-B43^2/wp^2)^2+(B43/wo)^2*(1-B43^2/wo^2)^2*((Ma-1)*Q.e*0.4)^2)</f>
        <v/>
      </c>
      <c r="G43" s="63">
        <f>(B43/wo)^2*(Ma-1)*IF(answer,MC,1)/SQRT((1-B43^2/wp^2)^2+(B43/wo)^2*(1-B43^2/wo^2)^2*((Ma-1)*Q.e*0.2)^2)</f>
        <v/>
      </c>
      <c r="H43">
        <f>M_min</f>
        <v/>
      </c>
      <c r="I43">
        <f>Max_Gain_required</f>
        <v/>
      </c>
    </row>
    <row r="44">
      <c r="A44" s="61">
        <f>A43*10^0.008</f>
        <v/>
      </c>
      <c r="B44" s="62">
        <f>2000*3.14*A44</f>
        <v/>
      </c>
      <c r="C44" s="63">
        <f>(B44/wo)^2*(Ma-1)*IF(answer,MC,1)/SQRT((1-B44^2/wp^2)^2+(B44/wo)^2*(1-B44^2/wo^2)^2*((Ma-1)*Q.e)^2)</f>
        <v/>
      </c>
      <c r="D44" s="63">
        <f>(B44/wo)^2*(Ma-1)*IF(answer,MC,1)/SQRT((1-B44^2/wp^2)^2+(B44/wo)^2*(1-B44^2/wo^2)^2*((Ma-1)*Q.e*0.8)^2)</f>
        <v/>
      </c>
      <c r="E44" s="63">
        <f>(B44/wo)^2*(Ma-1)*IF(answer,MC,1)/SQRT((1-B44^2/wp^2)^2+(B44/wo)^2*(1-B44^2/wo^2)^2*((Ma-1)*Q.e*0.6)^2)</f>
        <v/>
      </c>
      <c r="F44" s="63">
        <f>(B44/wo)^2*(Ma-1)*IF(answer,MC,1)/SQRT((1-B44^2/wp^2)^2+(B44/wo)^2*(1-B44^2/wo^2)^2*((Ma-1)*Q.e*0.4)^2)</f>
        <v/>
      </c>
      <c r="G44" s="63">
        <f>(B44/wo)^2*(Ma-1)*IF(answer,MC,1)/SQRT((1-B44^2/wp^2)^2+(B44/wo)^2*(1-B44^2/wo^2)^2*((Ma-1)*Q.e*0.2)^2)</f>
        <v/>
      </c>
      <c r="H44">
        <f>M_min</f>
        <v/>
      </c>
      <c r="I44">
        <f>Max_Gain_required</f>
        <v/>
      </c>
    </row>
    <row r="45">
      <c r="A45" s="61">
        <f>A44*10^0.008</f>
        <v/>
      </c>
      <c r="B45" s="62">
        <f>2000*3.14*A45</f>
        <v/>
      </c>
      <c r="C45" s="63">
        <f>(B45/wo)^2*(Ma-1)*IF(answer,MC,1)/SQRT((1-B45^2/wp^2)^2+(B45/wo)^2*(1-B45^2/wo^2)^2*((Ma-1)*Q.e)^2)</f>
        <v/>
      </c>
      <c r="D45" s="63">
        <f>(B45/wo)^2*(Ma-1)*IF(answer,MC,1)/SQRT((1-B45^2/wp^2)^2+(B45/wo)^2*(1-B45^2/wo^2)^2*((Ma-1)*Q.e*0.8)^2)</f>
        <v/>
      </c>
      <c r="E45" s="63">
        <f>(B45/wo)^2*(Ma-1)*IF(answer,MC,1)/SQRT((1-B45^2/wp^2)^2+(B45/wo)^2*(1-B45^2/wo^2)^2*((Ma-1)*Q.e*0.6)^2)</f>
        <v/>
      </c>
      <c r="F45" s="63">
        <f>(B45/wo)^2*(Ma-1)*IF(answer,MC,1)/SQRT((1-B45^2/wp^2)^2+(B45/wo)^2*(1-B45^2/wo^2)^2*((Ma-1)*Q.e*0.4)^2)</f>
        <v/>
      </c>
      <c r="G45" s="63">
        <f>(B45/wo)^2*(Ma-1)*IF(answer,MC,1)/SQRT((1-B45^2/wp^2)^2+(B45/wo)^2*(1-B45^2/wo^2)^2*((Ma-1)*Q.e*0.2)^2)</f>
        <v/>
      </c>
      <c r="H45">
        <f>M_min</f>
        <v/>
      </c>
      <c r="I45">
        <f>Max_Gain_required</f>
        <v/>
      </c>
    </row>
    <row r="46">
      <c r="A46" s="61">
        <f>A45*10^0.008</f>
        <v/>
      </c>
      <c r="B46" s="62">
        <f>2000*3.14*A46</f>
        <v/>
      </c>
      <c r="C46" s="63">
        <f>(B46/wo)^2*(Ma-1)*IF(answer,MC,1)/SQRT((1-B46^2/wp^2)^2+(B46/wo)^2*(1-B46^2/wo^2)^2*((Ma-1)*Q.e)^2)</f>
        <v/>
      </c>
      <c r="D46" s="63">
        <f>(B46/wo)^2*(Ma-1)*IF(answer,MC,1)/SQRT((1-B46^2/wp^2)^2+(B46/wo)^2*(1-B46^2/wo^2)^2*((Ma-1)*Q.e*0.8)^2)</f>
        <v/>
      </c>
      <c r="E46" s="63">
        <f>(B46/wo)^2*(Ma-1)*IF(answer,MC,1)/SQRT((1-B46^2/wp^2)^2+(B46/wo)^2*(1-B46^2/wo^2)^2*((Ma-1)*Q.e*0.6)^2)</f>
        <v/>
      </c>
      <c r="F46" s="63">
        <f>(B46/wo)^2*(Ma-1)*IF(answer,MC,1)/SQRT((1-B46^2/wp^2)^2+(B46/wo)^2*(1-B46^2/wo^2)^2*((Ma-1)*Q.e*0.4)^2)</f>
        <v/>
      </c>
      <c r="G46" s="63">
        <f>(B46/wo)^2*(Ma-1)*IF(answer,MC,1)/SQRT((1-B46^2/wp^2)^2+(B46/wo)^2*(1-B46^2/wo^2)^2*((Ma-1)*Q.e*0.2)^2)</f>
        <v/>
      </c>
      <c r="H46">
        <f>M_min</f>
        <v/>
      </c>
      <c r="I46">
        <f>Max_Gain_required</f>
        <v/>
      </c>
    </row>
    <row r="47">
      <c r="A47" s="61">
        <f>A46*10^0.008</f>
        <v/>
      </c>
      <c r="B47" s="62">
        <f>2000*3.14*A47</f>
        <v/>
      </c>
      <c r="C47" s="63">
        <f>(B47/wo)^2*(Ma-1)*IF(answer,MC,1)/SQRT((1-B47^2/wp^2)^2+(B47/wo)^2*(1-B47^2/wo^2)^2*((Ma-1)*Q.e)^2)</f>
        <v/>
      </c>
      <c r="D47" s="63">
        <f>(B47/wo)^2*(Ma-1)*IF(answer,MC,1)/SQRT((1-B47^2/wp^2)^2+(B47/wo)^2*(1-B47^2/wo^2)^2*((Ma-1)*Q.e*0.8)^2)</f>
        <v/>
      </c>
      <c r="E47" s="63">
        <f>(B47/wo)^2*(Ma-1)*IF(answer,MC,1)/SQRT((1-B47^2/wp^2)^2+(B47/wo)^2*(1-B47^2/wo^2)^2*((Ma-1)*Q.e*0.6)^2)</f>
        <v/>
      </c>
      <c r="F47" s="63">
        <f>(B47/wo)^2*(Ma-1)*IF(answer,MC,1)/SQRT((1-B47^2/wp^2)^2+(B47/wo)^2*(1-B47^2/wo^2)^2*((Ma-1)*Q.e*0.4)^2)</f>
        <v/>
      </c>
      <c r="G47" s="63">
        <f>(B47/wo)^2*(Ma-1)*IF(answer,MC,1)/SQRT((1-B47^2/wp^2)^2+(B47/wo)^2*(1-B47^2/wo^2)^2*((Ma-1)*Q.e*0.2)^2)</f>
        <v/>
      </c>
      <c r="H47">
        <f>M_min</f>
        <v/>
      </c>
      <c r="I47">
        <f>Max_Gain_required</f>
        <v/>
      </c>
    </row>
    <row r="48">
      <c r="A48" s="61">
        <f>A47*10^0.008</f>
        <v/>
      </c>
      <c r="B48" s="62">
        <f>2000*3.14*A48</f>
        <v/>
      </c>
      <c r="C48" s="63">
        <f>(B48/wo)^2*(Ma-1)*IF(answer,MC,1)/SQRT((1-B48^2/wp^2)^2+(B48/wo)^2*(1-B48^2/wo^2)^2*((Ma-1)*Q.e)^2)</f>
        <v/>
      </c>
      <c r="D48" s="63">
        <f>(B48/wo)^2*(Ma-1)*IF(answer,MC,1)/SQRT((1-B48^2/wp^2)^2+(B48/wo)^2*(1-B48^2/wo^2)^2*((Ma-1)*Q.e*0.8)^2)</f>
        <v/>
      </c>
      <c r="E48" s="63">
        <f>(B48/wo)^2*(Ma-1)*IF(answer,MC,1)/SQRT((1-B48^2/wp^2)^2+(B48/wo)^2*(1-B48^2/wo^2)^2*((Ma-1)*Q.e*0.6)^2)</f>
        <v/>
      </c>
      <c r="F48" s="63">
        <f>(B48/wo)^2*(Ma-1)*IF(answer,MC,1)/SQRT((1-B48^2/wp^2)^2+(B48/wo)^2*(1-B48^2/wo^2)^2*((Ma-1)*Q.e*0.4)^2)</f>
        <v/>
      </c>
      <c r="G48" s="63">
        <f>(B48/wo)^2*(Ma-1)*IF(answer,MC,1)/SQRT((1-B48^2/wp^2)^2+(B48/wo)^2*(1-B48^2/wo^2)^2*((Ma-1)*Q.e*0.2)^2)</f>
        <v/>
      </c>
      <c r="H48">
        <f>M_min</f>
        <v/>
      </c>
      <c r="I48">
        <f>Max_Gain_required</f>
        <v/>
      </c>
    </row>
    <row r="49">
      <c r="A49" s="61">
        <f>A48*10^0.008</f>
        <v/>
      </c>
      <c r="B49" s="62">
        <f>2000*3.14*A49</f>
        <v/>
      </c>
      <c r="C49" s="63">
        <f>(B49/wo)^2*(Ma-1)*IF(answer,MC,1)/SQRT((1-B49^2/wp^2)^2+(B49/wo)^2*(1-B49^2/wo^2)^2*((Ma-1)*Q.e)^2)</f>
        <v/>
      </c>
      <c r="D49" s="63">
        <f>(B49/wo)^2*(Ma-1)*IF(answer,MC,1)/SQRT((1-B49^2/wp^2)^2+(B49/wo)^2*(1-B49^2/wo^2)^2*((Ma-1)*Q.e*0.8)^2)</f>
        <v/>
      </c>
      <c r="E49" s="63">
        <f>(B49/wo)^2*(Ma-1)*IF(answer,MC,1)/SQRT((1-B49^2/wp^2)^2+(B49/wo)^2*(1-B49^2/wo^2)^2*((Ma-1)*Q.e*0.6)^2)</f>
        <v/>
      </c>
      <c r="F49" s="63">
        <f>(B49/wo)^2*(Ma-1)*IF(answer,MC,1)/SQRT((1-B49^2/wp^2)^2+(B49/wo)^2*(1-B49^2/wo^2)^2*((Ma-1)*Q.e*0.4)^2)</f>
        <v/>
      </c>
      <c r="G49" s="63">
        <f>(B49/wo)^2*(Ma-1)*IF(answer,MC,1)/SQRT((1-B49^2/wp^2)^2+(B49/wo)^2*(1-B49^2/wo^2)^2*((Ma-1)*Q.e*0.2)^2)</f>
        <v/>
      </c>
      <c r="H49">
        <f>M_min</f>
        <v/>
      </c>
      <c r="I49">
        <f>Max_Gain_required</f>
        <v/>
      </c>
    </row>
    <row r="50">
      <c r="A50" s="61">
        <f>A49*10^0.008</f>
        <v/>
      </c>
      <c r="B50" s="62">
        <f>2000*3.14*A50</f>
        <v/>
      </c>
      <c r="C50" s="63">
        <f>(B50/wo)^2*(Ma-1)*IF(answer,MC,1)/SQRT((1-B50^2/wp^2)^2+(B50/wo)^2*(1-B50^2/wo^2)^2*((Ma-1)*Q.e)^2)</f>
        <v/>
      </c>
      <c r="D50" s="63">
        <f>(B50/wo)^2*(Ma-1)*IF(answer,MC,1)/SQRT((1-B50^2/wp^2)^2+(B50/wo)^2*(1-B50^2/wo^2)^2*((Ma-1)*Q.e*0.8)^2)</f>
        <v/>
      </c>
      <c r="E50" s="63">
        <f>(B50/wo)^2*(Ma-1)*IF(answer,MC,1)/SQRT((1-B50^2/wp^2)^2+(B50/wo)^2*(1-B50^2/wo^2)^2*((Ma-1)*Q.e*0.6)^2)</f>
        <v/>
      </c>
      <c r="F50" s="63">
        <f>(B50/wo)^2*(Ma-1)*IF(answer,MC,1)/SQRT((1-B50^2/wp^2)^2+(B50/wo)^2*(1-B50^2/wo^2)^2*((Ma-1)*Q.e*0.4)^2)</f>
        <v/>
      </c>
      <c r="G50" s="63">
        <f>(B50/wo)^2*(Ma-1)*IF(answer,MC,1)/SQRT((1-B50^2/wp^2)^2+(B50/wo)^2*(1-B50^2/wo^2)^2*((Ma-1)*Q.e*0.2)^2)</f>
        <v/>
      </c>
      <c r="H50">
        <f>M_min</f>
        <v/>
      </c>
      <c r="I50">
        <f>Max_Gain_required</f>
        <v/>
      </c>
    </row>
    <row r="51">
      <c r="A51" s="61">
        <f>A50*10^0.008</f>
        <v/>
      </c>
      <c r="B51" s="62">
        <f>2000*3.14*A51</f>
        <v/>
      </c>
      <c r="C51" s="63">
        <f>(B51/wo)^2*(Ma-1)*IF(answer,MC,1)/SQRT((1-B51^2/wp^2)^2+(B51/wo)^2*(1-B51^2/wo^2)^2*((Ma-1)*Q.e)^2)</f>
        <v/>
      </c>
      <c r="D51" s="63">
        <f>(B51/wo)^2*(Ma-1)*IF(answer,MC,1)/SQRT((1-B51^2/wp^2)^2+(B51/wo)^2*(1-B51^2/wo^2)^2*((Ma-1)*Q.e*0.8)^2)</f>
        <v/>
      </c>
      <c r="E51" s="63">
        <f>(B51/wo)^2*(Ma-1)*IF(answer,MC,1)/SQRT((1-B51^2/wp^2)^2+(B51/wo)^2*(1-B51^2/wo^2)^2*((Ma-1)*Q.e*0.6)^2)</f>
        <v/>
      </c>
      <c r="F51" s="63">
        <f>(B51/wo)^2*(Ma-1)*IF(answer,MC,1)/SQRT((1-B51^2/wp^2)^2+(B51/wo)^2*(1-B51^2/wo^2)^2*((Ma-1)*Q.e*0.4)^2)</f>
        <v/>
      </c>
      <c r="G51" s="63">
        <f>(B51/wo)^2*(Ma-1)*IF(answer,MC,1)/SQRT((1-B51^2/wp^2)^2+(B51/wo)^2*(1-B51^2/wo^2)^2*((Ma-1)*Q.e*0.2)^2)</f>
        <v/>
      </c>
      <c r="H51">
        <f>M_min</f>
        <v/>
      </c>
      <c r="I51">
        <f>Max_Gain_required</f>
        <v/>
      </c>
    </row>
    <row r="52">
      <c r="A52" s="61">
        <f>A51*10^0.008</f>
        <v/>
      </c>
      <c r="B52" s="62">
        <f>2000*3.14*A52</f>
        <v/>
      </c>
      <c r="C52" s="63">
        <f>(B52/wo)^2*(Ma-1)*IF(answer,MC,1)/SQRT((1-B52^2/wp^2)^2+(B52/wo)^2*(1-B52^2/wo^2)^2*((Ma-1)*Q.e)^2)</f>
        <v/>
      </c>
      <c r="D52" s="63">
        <f>(B52/wo)^2*(Ma-1)*IF(answer,MC,1)/SQRT((1-B52^2/wp^2)^2+(B52/wo)^2*(1-B52^2/wo^2)^2*((Ma-1)*Q.e*0.8)^2)</f>
        <v/>
      </c>
      <c r="E52" s="63">
        <f>(B52/wo)^2*(Ma-1)*IF(answer,MC,1)/SQRT((1-B52^2/wp^2)^2+(B52/wo)^2*(1-B52^2/wo^2)^2*((Ma-1)*Q.e*0.6)^2)</f>
        <v/>
      </c>
      <c r="F52" s="63">
        <f>(B52/wo)^2*(Ma-1)*IF(answer,MC,1)/SQRT((1-B52^2/wp^2)^2+(B52/wo)^2*(1-B52^2/wo^2)^2*((Ma-1)*Q.e*0.4)^2)</f>
        <v/>
      </c>
      <c r="G52" s="63">
        <f>(B52/wo)^2*(Ma-1)*IF(answer,MC,1)/SQRT((1-B52^2/wp^2)^2+(B52/wo)^2*(1-B52^2/wo^2)^2*((Ma-1)*Q.e*0.2)^2)</f>
        <v/>
      </c>
      <c r="H52">
        <f>M_min</f>
        <v/>
      </c>
      <c r="I52">
        <f>Max_Gain_required</f>
        <v/>
      </c>
    </row>
    <row r="53">
      <c r="A53" s="61">
        <f>A52*10^0.008</f>
        <v/>
      </c>
      <c r="B53" s="62">
        <f>2000*3.14*A53</f>
        <v/>
      </c>
      <c r="C53" s="63">
        <f>(B53/wo)^2*(Ma-1)*IF(answer,MC,1)/SQRT((1-B53^2/wp^2)^2+(B53/wo)^2*(1-B53^2/wo^2)^2*((Ma-1)*Q.e)^2)</f>
        <v/>
      </c>
      <c r="D53" s="63">
        <f>(B53/wo)^2*(Ma-1)*IF(answer,MC,1)/SQRT((1-B53^2/wp^2)^2+(B53/wo)^2*(1-B53^2/wo^2)^2*((Ma-1)*Q.e*0.8)^2)</f>
        <v/>
      </c>
      <c r="E53" s="63">
        <f>(B53/wo)^2*(Ma-1)*IF(answer,MC,1)/SQRT((1-B53^2/wp^2)^2+(B53/wo)^2*(1-B53^2/wo^2)^2*((Ma-1)*Q.e*0.6)^2)</f>
        <v/>
      </c>
      <c r="F53" s="63">
        <f>(B53/wo)^2*(Ma-1)*IF(answer,MC,1)/SQRT((1-B53^2/wp^2)^2+(B53/wo)^2*(1-B53^2/wo^2)^2*((Ma-1)*Q.e*0.4)^2)</f>
        <v/>
      </c>
      <c r="G53" s="63">
        <f>(B53/wo)^2*(Ma-1)*IF(answer,MC,1)/SQRT((1-B53^2/wp^2)^2+(B53/wo)^2*(1-B53^2/wo^2)^2*((Ma-1)*Q.e*0.2)^2)</f>
        <v/>
      </c>
      <c r="H53">
        <f>M_min</f>
        <v/>
      </c>
      <c r="I53">
        <f>Max_Gain_required</f>
        <v/>
      </c>
    </row>
    <row r="54">
      <c r="A54" s="61">
        <f>A53*10^0.008</f>
        <v/>
      </c>
      <c r="B54" s="62">
        <f>2000*3.14*A54</f>
        <v/>
      </c>
      <c r="C54" s="63">
        <f>(B54/wo)^2*(Ma-1)*IF(answer,MC,1)/SQRT((1-B54^2/wp^2)^2+(B54/wo)^2*(1-B54^2/wo^2)^2*((Ma-1)*Q.e)^2)</f>
        <v/>
      </c>
      <c r="D54" s="63">
        <f>(B54/wo)^2*(Ma-1)*IF(answer,MC,1)/SQRT((1-B54^2/wp^2)^2+(B54/wo)^2*(1-B54^2/wo^2)^2*((Ma-1)*Q.e*0.8)^2)</f>
        <v/>
      </c>
      <c r="E54" s="63">
        <f>(B54/wo)^2*(Ma-1)*IF(answer,MC,1)/SQRT((1-B54^2/wp^2)^2+(B54/wo)^2*(1-B54^2/wo^2)^2*((Ma-1)*Q.e*0.6)^2)</f>
        <v/>
      </c>
      <c r="F54" s="63">
        <f>(B54/wo)^2*(Ma-1)*IF(answer,MC,1)/SQRT((1-B54^2/wp^2)^2+(B54/wo)^2*(1-B54^2/wo^2)^2*((Ma-1)*Q.e*0.4)^2)</f>
        <v/>
      </c>
      <c r="G54" s="63">
        <f>(B54/wo)^2*(Ma-1)*IF(answer,MC,1)/SQRT((1-B54^2/wp^2)^2+(B54/wo)^2*(1-B54^2/wo^2)^2*((Ma-1)*Q.e*0.2)^2)</f>
        <v/>
      </c>
      <c r="H54">
        <f>M_min</f>
        <v/>
      </c>
      <c r="I54">
        <f>Max_Gain_required</f>
        <v/>
      </c>
    </row>
    <row r="55">
      <c r="A55" s="61">
        <f>A54*10^0.008</f>
        <v/>
      </c>
      <c r="B55" s="62">
        <f>2000*3.14*A55</f>
        <v/>
      </c>
      <c r="C55" s="63">
        <f>(B55/wo)^2*(Ma-1)*IF(answer,MC,1)/SQRT((1-B55^2/wp^2)^2+(B55/wo)^2*(1-B55^2/wo^2)^2*((Ma-1)*Q.e)^2)</f>
        <v/>
      </c>
      <c r="D55" s="63">
        <f>(B55/wo)^2*(Ma-1)*IF(answer,MC,1)/SQRT((1-B55^2/wp^2)^2+(B55/wo)^2*(1-B55^2/wo^2)^2*((Ma-1)*Q.e*0.8)^2)</f>
        <v/>
      </c>
      <c r="E55" s="63">
        <f>(B55/wo)^2*(Ma-1)*IF(answer,MC,1)/SQRT((1-B55^2/wp^2)^2+(B55/wo)^2*(1-B55^2/wo^2)^2*((Ma-1)*Q.e*0.6)^2)</f>
        <v/>
      </c>
      <c r="F55" s="63">
        <f>(B55/wo)^2*(Ma-1)*IF(answer,MC,1)/SQRT((1-B55^2/wp^2)^2+(B55/wo)^2*(1-B55^2/wo^2)^2*((Ma-1)*Q.e*0.4)^2)</f>
        <v/>
      </c>
      <c r="G55" s="63">
        <f>(B55/wo)^2*(Ma-1)*IF(answer,MC,1)/SQRT((1-B55^2/wp^2)^2+(B55/wo)^2*(1-B55^2/wo^2)^2*((Ma-1)*Q.e*0.2)^2)</f>
        <v/>
      </c>
      <c r="H55">
        <f>M_min</f>
        <v/>
      </c>
      <c r="I55">
        <f>Max_Gain_required</f>
        <v/>
      </c>
    </row>
    <row r="56">
      <c r="A56" s="61">
        <f>A55*10^0.008</f>
        <v/>
      </c>
      <c r="B56" s="62">
        <f>2000*3.14*A56</f>
        <v/>
      </c>
      <c r="C56" s="63">
        <f>(B56/wo)^2*(Ma-1)*IF(answer,MC,1)/SQRT((1-B56^2/wp^2)^2+(B56/wo)^2*(1-B56^2/wo^2)^2*((Ma-1)*Q.e)^2)</f>
        <v/>
      </c>
      <c r="D56" s="63">
        <f>(B56/wo)^2*(Ma-1)*IF(answer,MC,1)/SQRT((1-B56^2/wp^2)^2+(B56/wo)^2*(1-B56^2/wo^2)^2*((Ma-1)*Q.e*0.8)^2)</f>
        <v/>
      </c>
      <c r="E56" s="63">
        <f>(B56/wo)^2*(Ma-1)*IF(answer,MC,1)/SQRT((1-B56^2/wp^2)^2+(B56/wo)^2*(1-B56^2/wo^2)^2*((Ma-1)*Q.e*0.6)^2)</f>
        <v/>
      </c>
      <c r="F56" s="63">
        <f>(B56/wo)^2*(Ma-1)*IF(answer,MC,1)/SQRT((1-B56^2/wp^2)^2+(B56/wo)^2*(1-B56^2/wo^2)^2*((Ma-1)*Q.e*0.4)^2)</f>
        <v/>
      </c>
      <c r="G56" s="63">
        <f>(B56/wo)^2*(Ma-1)*IF(answer,MC,1)/SQRT((1-B56^2/wp^2)^2+(B56/wo)^2*(1-B56^2/wo^2)^2*((Ma-1)*Q.e*0.2)^2)</f>
        <v/>
      </c>
      <c r="H56">
        <f>M_min</f>
        <v/>
      </c>
      <c r="I56">
        <f>Max_Gain_required</f>
        <v/>
      </c>
    </row>
    <row r="57">
      <c r="A57" s="61">
        <f>A56*10^0.008</f>
        <v/>
      </c>
      <c r="B57" s="62">
        <f>2000*3.14*A57</f>
        <v/>
      </c>
      <c r="C57" s="63">
        <f>(B57/wo)^2*(Ma-1)*IF(answer,MC,1)/SQRT((1-B57^2/wp^2)^2+(B57/wo)^2*(1-B57^2/wo^2)^2*((Ma-1)*Q.e)^2)</f>
        <v/>
      </c>
      <c r="D57" s="63">
        <f>(B57/wo)^2*(Ma-1)*IF(answer,MC,1)/SQRT((1-B57^2/wp^2)^2+(B57/wo)^2*(1-B57^2/wo^2)^2*((Ma-1)*Q.e*0.8)^2)</f>
        <v/>
      </c>
      <c r="E57" s="63">
        <f>(B57/wo)^2*(Ma-1)*IF(answer,MC,1)/SQRT((1-B57^2/wp^2)^2+(B57/wo)^2*(1-B57^2/wo^2)^2*((Ma-1)*Q.e*0.6)^2)</f>
        <v/>
      </c>
      <c r="F57" s="63">
        <f>(B57/wo)^2*(Ma-1)*IF(answer,MC,1)/SQRT((1-B57^2/wp^2)^2+(B57/wo)^2*(1-B57^2/wo^2)^2*((Ma-1)*Q.e*0.4)^2)</f>
        <v/>
      </c>
      <c r="G57" s="63">
        <f>(B57/wo)^2*(Ma-1)*IF(answer,MC,1)/SQRT((1-B57^2/wp^2)^2+(B57/wo)^2*(1-B57^2/wo^2)^2*((Ma-1)*Q.e*0.2)^2)</f>
        <v/>
      </c>
      <c r="H57">
        <f>M_min</f>
        <v/>
      </c>
      <c r="I57">
        <f>Max_Gain_required</f>
        <v/>
      </c>
    </row>
    <row r="58">
      <c r="A58" s="61">
        <f>A57*10^0.008</f>
        <v/>
      </c>
      <c r="B58" s="62">
        <f>2000*3.14*A58</f>
        <v/>
      </c>
      <c r="C58" s="63">
        <f>(B58/wo)^2*(Ma-1)*IF(answer,MC,1)/SQRT((1-B58^2/wp^2)^2+(B58/wo)^2*(1-B58^2/wo^2)^2*((Ma-1)*Q.e)^2)</f>
        <v/>
      </c>
      <c r="D58" s="63">
        <f>(B58/wo)^2*(Ma-1)*IF(answer,MC,1)/SQRT((1-B58^2/wp^2)^2+(B58/wo)^2*(1-B58^2/wo^2)^2*((Ma-1)*Q.e*0.8)^2)</f>
        <v/>
      </c>
      <c r="E58" s="63">
        <f>(B58/wo)^2*(Ma-1)*IF(answer,MC,1)/SQRT((1-B58^2/wp^2)^2+(B58/wo)^2*(1-B58^2/wo^2)^2*((Ma-1)*Q.e*0.6)^2)</f>
        <v/>
      </c>
      <c r="F58" s="63">
        <f>(B58/wo)^2*(Ma-1)*IF(answer,MC,1)/SQRT((1-B58^2/wp^2)^2+(B58/wo)^2*(1-B58^2/wo^2)^2*((Ma-1)*Q.e*0.4)^2)</f>
        <v/>
      </c>
      <c r="G58" s="63">
        <f>(B58/wo)^2*(Ma-1)*IF(answer,MC,1)/SQRT((1-B58^2/wp^2)^2+(B58/wo)^2*(1-B58^2/wo^2)^2*((Ma-1)*Q.e*0.2)^2)</f>
        <v/>
      </c>
      <c r="H58">
        <f>M_min</f>
        <v/>
      </c>
      <c r="I58">
        <f>Max_Gain_required</f>
        <v/>
      </c>
    </row>
    <row r="59">
      <c r="A59" s="61">
        <f>A58*10^0.008</f>
        <v/>
      </c>
      <c r="B59" s="62">
        <f>2000*3.14*A59</f>
        <v/>
      </c>
      <c r="C59" s="63">
        <f>(B59/wo)^2*(Ma-1)*IF(answer,MC,1)/SQRT((1-B59^2/wp^2)^2+(B59/wo)^2*(1-B59^2/wo^2)^2*((Ma-1)*Q.e)^2)</f>
        <v/>
      </c>
      <c r="D59" s="63">
        <f>(B59/wo)^2*(Ma-1)*IF(answer,MC,1)/SQRT((1-B59^2/wp^2)^2+(B59/wo)^2*(1-B59^2/wo^2)^2*((Ma-1)*Q.e*0.8)^2)</f>
        <v/>
      </c>
      <c r="E59" s="63">
        <f>(B59/wo)^2*(Ma-1)*IF(answer,MC,1)/SQRT((1-B59^2/wp^2)^2+(B59/wo)^2*(1-B59^2/wo^2)^2*((Ma-1)*Q.e*0.6)^2)</f>
        <v/>
      </c>
      <c r="F59" s="63">
        <f>(B59/wo)^2*(Ma-1)*IF(answer,MC,1)/SQRT((1-B59^2/wp^2)^2+(B59/wo)^2*(1-B59^2/wo^2)^2*((Ma-1)*Q.e*0.4)^2)</f>
        <v/>
      </c>
      <c r="G59" s="63">
        <f>(B59/wo)^2*(Ma-1)*IF(answer,MC,1)/SQRT((1-B59^2/wp^2)^2+(B59/wo)^2*(1-B59^2/wo^2)^2*((Ma-1)*Q.e*0.2)^2)</f>
        <v/>
      </c>
      <c r="H59">
        <f>M_min</f>
        <v/>
      </c>
      <c r="I59">
        <f>Max_Gain_required</f>
        <v/>
      </c>
    </row>
    <row r="60">
      <c r="A60" s="61">
        <f>A59*10^0.008</f>
        <v/>
      </c>
      <c r="B60" s="62">
        <f>2000*3.14*A60</f>
        <v/>
      </c>
      <c r="C60" s="63">
        <f>(B60/wo)^2*(Ma-1)*IF(answer,MC,1)/SQRT((1-B60^2/wp^2)^2+(B60/wo)^2*(1-B60^2/wo^2)^2*((Ma-1)*Q.e)^2)</f>
        <v/>
      </c>
      <c r="D60" s="63">
        <f>(B60/wo)^2*(Ma-1)*IF(answer,MC,1)/SQRT((1-B60^2/wp^2)^2+(B60/wo)^2*(1-B60^2/wo^2)^2*((Ma-1)*Q.e*0.8)^2)</f>
        <v/>
      </c>
      <c r="E60" s="63">
        <f>(B60/wo)^2*(Ma-1)*IF(answer,MC,1)/SQRT((1-B60^2/wp^2)^2+(B60/wo)^2*(1-B60^2/wo^2)^2*((Ma-1)*Q.e*0.6)^2)</f>
        <v/>
      </c>
      <c r="F60" s="63">
        <f>(B60/wo)^2*(Ma-1)*IF(answer,MC,1)/SQRT((1-B60^2/wp^2)^2+(B60/wo)^2*(1-B60^2/wo^2)^2*((Ma-1)*Q.e*0.4)^2)</f>
        <v/>
      </c>
      <c r="G60" s="63">
        <f>(B60/wo)^2*(Ma-1)*IF(answer,MC,1)/SQRT((1-B60^2/wp^2)^2+(B60/wo)^2*(1-B60^2/wo^2)^2*((Ma-1)*Q.e*0.2)^2)</f>
        <v/>
      </c>
      <c r="H60">
        <f>M_min</f>
        <v/>
      </c>
      <c r="I60">
        <f>Max_Gain_required</f>
        <v/>
      </c>
    </row>
    <row r="61">
      <c r="A61" s="61">
        <f>A60*10^0.008</f>
        <v/>
      </c>
      <c r="B61" s="62">
        <f>2000*3.14*A61</f>
        <v/>
      </c>
      <c r="C61" s="63">
        <f>(B61/wo)^2*(Ma-1)*IF(answer,MC,1)/SQRT((1-B61^2/wp^2)^2+(B61/wo)^2*(1-B61^2/wo^2)^2*((Ma-1)*Q.e)^2)</f>
        <v/>
      </c>
      <c r="D61" s="63">
        <f>(B61/wo)^2*(Ma-1)*IF(answer,MC,1)/SQRT((1-B61^2/wp^2)^2+(B61/wo)^2*(1-B61^2/wo^2)^2*((Ma-1)*Q.e*0.8)^2)</f>
        <v/>
      </c>
      <c r="E61" s="63">
        <f>(B61/wo)^2*(Ma-1)*IF(answer,MC,1)/SQRT((1-B61^2/wp^2)^2+(B61/wo)^2*(1-B61^2/wo^2)^2*((Ma-1)*Q.e*0.6)^2)</f>
        <v/>
      </c>
      <c r="F61" s="63">
        <f>(B61/wo)^2*(Ma-1)*IF(answer,MC,1)/SQRT((1-B61^2/wp^2)^2+(B61/wo)^2*(1-B61^2/wo^2)^2*((Ma-1)*Q.e*0.4)^2)</f>
        <v/>
      </c>
      <c r="G61" s="63">
        <f>(B61/wo)^2*(Ma-1)*IF(answer,MC,1)/SQRT((1-B61^2/wp^2)^2+(B61/wo)^2*(1-B61^2/wo^2)^2*((Ma-1)*Q.e*0.2)^2)</f>
        <v/>
      </c>
      <c r="H61">
        <f>M_min</f>
        <v/>
      </c>
      <c r="I61">
        <f>Max_Gain_required</f>
        <v/>
      </c>
    </row>
    <row r="62">
      <c r="A62" s="61">
        <f>A61*10^0.008</f>
        <v/>
      </c>
      <c r="B62" s="62">
        <f>2000*3.14*A62</f>
        <v/>
      </c>
      <c r="C62" s="63">
        <f>(B62/wo)^2*(Ma-1)*IF(answer,MC,1)/SQRT((1-B62^2/wp^2)^2+(B62/wo)^2*(1-B62^2/wo^2)^2*((Ma-1)*Q.e)^2)</f>
        <v/>
      </c>
      <c r="D62" s="63">
        <f>(B62/wo)^2*(Ma-1)*IF(answer,MC,1)/SQRT((1-B62^2/wp^2)^2+(B62/wo)^2*(1-B62^2/wo^2)^2*((Ma-1)*Q.e*0.8)^2)</f>
        <v/>
      </c>
      <c r="E62" s="63">
        <f>(B62/wo)^2*(Ma-1)*IF(answer,MC,1)/SQRT((1-B62^2/wp^2)^2+(B62/wo)^2*(1-B62^2/wo^2)^2*((Ma-1)*Q.e*0.6)^2)</f>
        <v/>
      </c>
      <c r="F62" s="63">
        <f>(B62/wo)^2*(Ma-1)*IF(answer,MC,1)/SQRT((1-B62^2/wp^2)^2+(B62/wo)^2*(1-B62^2/wo^2)^2*((Ma-1)*Q.e*0.4)^2)</f>
        <v/>
      </c>
      <c r="G62" s="63">
        <f>(B62/wo)^2*(Ma-1)*IF(answer,MC,1)/SQRT((1-B62^2/wp^2)^2+(B62/wo)^2*(1-B62^2/wo^2)^2*((Ma-1)*Q.e*0.2)^2)</f>
        <v/>
      </c>
      <c r="H62">
        <f>M_min</f>
        <v/>
      </c>
      <c r="I62">
        <f>Max_Gain_required</f>
        <v/>
      </c>
    </row>
    <row r="63">
      <c r="A63" s="61">
        <f>A62*10^0.008</f>
        <v/>
      </c>
      <c r="B63" s="62">
        <f>2000*3.14*A63</f>
        <v/>
      </c>
      <c r="C63" s="63">
        <f>(B63/wo)^2*(Ma-1)*IF(answer,MC,1)/SQRT((1-B63^2/wp^2)^2+(B63/wo)^2*(1-B63^2/wo^2)^2*((Ma-1)*Q.e)^2)</f>
        <v/>
      </c>
      <c r="D63" s="63">
        <f>(B63/wo)^2*(Ma-1)*IF(answer,MC,1)/SQRT((1-B63^2/wp^2)^2+(B63/wo)^2*(1-B63^2/wo^2)^2*((Ma-1)*Q.e*0.8)^2)</f>
        <v/>
      </c>
      <c r="E63" s="63">
        <f>(B63/wo)^2*(Ma-1)*IF(answer,MC,1)/SQRT((1-B63^2/wp^2)^2+(B63/wo)^2*(1-B63^2/wo^2)^2*((Ma-1)*Q.e*0.6)^2)</f>
        <v/>
      </c>
      <c r="F63" s="63">
        <f>(B63/wo)^2*(Ma-1)*IF(answer,MC,1)/SQRT((1-B63^2/wp^2)^2+(B63/wo)^2*(1-B63^2/wo^2)^2*((Ma-1)*Q.e*0.4)^2)</f>
        <v/>
      </c>
      <c r="G63" s="63">
        <f>(B63/wo)^2*(Ma-1)*IF(answer,MC,1)/SQRT((1-B63^2/wp^2)^2+(B63/wo)^2*(1-B63^2/wo^2)^2*((Ma-1)*Q.e*0.2)^2)</f>
        <v/>
      </c>
      <c r="H63">
        <f>M_min</f>
        <v/>
      </c>
      <c r="I63">
        <f>Max_Gain_required</f>
        <v/>
      </c>
    </row>
    <row r="64">
      <c r="A64" s="61">
        <f>A63*10^0.008</f>
        <v/>
      </c>
      <c r="B64" s="62">
        <f>2000*3.14*A64</f>
        <v/>
      </c>
      <c r="C64" s="63">
        <f>(B64/wo)^2*(Ma-1)*IF(answer,MC,1)/SQRT((1-B64^2/wp^2)^2+(B64/wo)^2*(1-B64^2/wo^2)^2*((Ma-1)*Q.e)^2)</f>
        <v/>
      </c>
      <c r="D64" s="63">
        <f>(B64/wo)^2*(Ma-1)*IF(answer,MC,1)/SQRT((1-B64^2/wp^2)^2+(B64/wo)^2*(1-B64^2/wo^2)^2*((Ma-1)*Q.e*0.8)^2)</f>
        <v/>
      </c>
      <c r="E64" s="63">
        <f>(B64/wo)^2*(Ma-1)*IF(answer,MC,1)/SQRT((1-B64^2/wp^2)^2+(B64/wo)^2*(1-B64^2/wo^2)^2*((Ma-1)*Q.e*0.6)^2)</f>
        <v/>
      </c>
      <c r="F64" s="63">
        <f>(B64/wo)^2*(Ma-1)*IF(answer,MC,1)/SQRT((1-B64^2/wp^2)^2+(B64/wo)^2*(1-B64^2/wo^2)^2*((Ma-1)*Q.e*0.4)^2)</f>
        <v/>
      </c>
      <c r="G64" s="63">
        <f>(B64/wo)^2*(Ma-1)*IF(answer,MC,1)/SQRT((1-B64^2/wp^2)^2+(B64/wo)^2*(1-B64^2/wo^2)^2*((Ma-1)*Q.e*0.2)^2)</f>
        <v/>
      </c>
      <c r="H64">
        <f>M_min</f>
        <v/>
      </c>
      <c r="I64">
        <f>Max_Gain_required</f>
        <v/>
      </c>
    </row>
    <row r="65">
      <c r="A65" s="61">
        <f>A64*10^0.008</f>
        <v/>
      </c>
      <c r="B65" s="62">
        <f>2000*3.14*A65</f>
        <v/>
      </c>
      <c r="C65" s="63">
        <f>(B65/wo)^2*(Ma-1)*IF(answer,MC,1)/SQRT((1-B65^2/wp^2)^2+(B65/wo)^2*(1-B65^2/wo^2)^2*((Ma-1)*Q.e)^2)</f>
        <v/>
      </c>
      <c r="D65" s="63">
        <f>(B65/wo)^2*(Ma-1)*IF(answer,MC,1)/SQRT((1-B65^2/wp^2)^2+(B65/wo)^2*(1-B65^2/wo^2)^2*((Ma-1)*Q.e*0.8)^2)</f>
        <v/>
      </c>
      <c r="E65" s="63">
        <f>(B65/wo)^2*(Ma-1)*IF(answer,MC,1)/SQRT((1-B65^2/wp^2)^2+(B65/wo)^2*(1-B65^2/wo^2)^2*((Ma-1)*Q.e*0.6)^2)</f>
        <v/>
      </c>
      <c r="F65" s="63">
        <f>(B65/wo)^2*(Ma-1)*IF(answer,MC,1)/SQRT((1-B65^2/wp^2)^2+(B65/wo)^2*(1-B65^2/wo^2)^2*((Ma-1)*Q.e*0.4)^2)</f>
        <v/>
      </c>
      <c r="G65" s="63">
        <f>(B65/wo)^2*(Ma-1)*IF(answer,MC,1)/SQRT((1-B65^2/wp^2)^2+(B65/wo)^2*(1-B65^2/wo^2)^2*((Ma-1)*Q.e*0.2)^2)</f>
        <v/>
      </c>
      <c r="H65">
        <f>M_min</f>
        <v/>
      </c>
      <c r="I65">
        <f>Max_Gain_required</f>
        <v/>
      </c>
    </row>
    <row r="66">
      <c r="A66" s="61">
        <f>A65*10^0.008</f>
        <v/>
      </c>
      <c r="B66" s="62">
        <f>2000*3.14*A66</f>
        <v/>
      </c>
      <c r="C66" s="63">
        <f>(B66/wo)^2*(Ma-1)*IF(answer,MC,1)/SQRT((1-B66^2/wp^2)^2+(B66/wo)^2*(1-B66^2/wo^2)^2*((Ma-1)*Q.e)^2)</f>
        <v/>
      </c>
      <c r="D66" s="63">
        <f>(B66/wo)^2*(Ma-1)*IF(answer,MC,1)/SQRT((1-B66^2/wp^2)^2+(B66/wo)^2*(1-B66^2/wo^2)^2*((Ma-1)*Q.e*0.8)^2)</f>
        <v/>
      </c>
      <c r="E66" s="63">
        <f>(B66/wo)^2*(Ma-1)*IF(answer,MC,1)/SQRT((1-B66^2/wp^2)^2+(B66/wo)^2*(1-B66^2/wo^2)^2*((Ma-1)*Q.e*0.6)^2)</f>
        <v/>
      </c>
      <c r="F66" s="63">
        <f>(B66/wo)^2*(Ma-1)*IF(answer,MC,1)/SQRT((1-B66^2/wp^2)^2+(B66/wo)^2*(1-B66^2/wo^2)^2*((Ma-1)*Q.e*0.4)^2)</f>
        <v/>
      </c>
      <c r="G66" s="63">
        <f>(B66/wo)^2*(Ma-1)*IF(answer,MC,1)/SQRT((1-B66^2/wp^2)^2+(B66/wo)^2*(1-B66^2/wo^2)^2*((Ma-1)*Q.e*0.2)^2)</f>
        <v/>
      </c>
      <c r="H66">
        <f>M_min</f>
        <v/>
      </c>
      <c r="I66">
        <f>Max_Gain_required</f>
        <v/>
      </c>
    </row>
    <row r="67">
      <c r="A67" s="61">
        <f>A66*10^0.008</f>
        <v/>
      </c>
      <c r="B67" s="62">
        <f>2000*3.14*A67</f>
        <v/>
      </c>
      <c r="C67" s="63">
        <f>(B67/wo)^2*(Ma-1)*IF(answer,MC,1)/SQRT((1-B67^2/wp^2)^2+(B67/wo)^2*(1-B67^2/wo^2)^2*((Ma-1)*Q.e)^2)</f>
        <v/>
      </c>
      <c r="D67" s="63">
        <f>(B67/wo)^2*(Ma-1)*IF(answer,MC,1)/SQRT((1-B67^2/wp^2)^2+(B67/wo)^2*(1-B67^2/wo^2)^2*((Ma-1)*Q.e*0.8)^2)</f>
        <v/>
      </c>
      <c r="E67" s="63">
        <f>(B67/wo)^2*(Ma-1)*IF(answer,MC,1)/SQRT((1-B67^2/wp^2)^2+(B67/wo)^2*(1-B67^2/wo^2)^2*((Ma-1)*Q.e*0.6)^2)</f>
        <v/>
      </c>
      <c r="F67" s="63">
        <f>(B67/wo)^2*(Ma-1)*IF(answer,MC,1)/SQRT((1-B67^2/wp^2)^2+(B67/wo)^2*(1-B67^2/wo^2)^2*((Ma-1)*Q.e*0.4)^2)</f>
        <v/>
      </c>
      <c r="G67" s="63">
        <f>(B67/wo)^2*(Ma-1)*IF(answer,MC,1)/SQRT((1-B67^2/wp^2)^2+(B67/wo)^2*(1-B67^2/wo^2)^2*((Ma-1)*Q.e*0.2)^2)</f>
        <v/>
      </c>
      <c r="H67">
        <f>M_min</f>
        <v/>
      </c>
      <c r="I67">
        <f>Max_Gain_required</f>
        <v/>
      </c>
    </row>
    <row r="68">
      <c r="A68" s="61">
        <f>A67*10^0.008</f>
        <v/>
      </c>
      <c r="B68" s="62">
        <f>2000*3.14*A68</f>
        <v/>
      </c>
      <c r="C68" s="63">
        <f>(B68/wo)^2*(Ma-1)*IF(answer,MC,1)/SQRT((1-B68^2/wp^2)^2+(B68/wo)^2*(1-B68^2/wo^2)^2*((Ma-1)*Q.e)^2)</f>
        <v/>
      </c>
      <c r="D68" s="63">
        <f>(B68/wo)^2*(Ma-1)*IF(answer,MC,1)/SQRT((1-B68^2/wp^2)^2+(B68/wo)^2*(1-B68^2/wo^2)^2*((Ma-1)*Q.e*0.8)^2)</f>
        <v/>
      </c>
      <c r="E68" s="63">
        <f>(B68/wo)^2*(Ma-1)*IF(answer,MC,1)/SQRT((1-B68^2/wp^2)^2+(B68/wo)^2*(1-B68^2/wo^2)^2*((Ma-1)*Q.e*0.6)^2)</f>
        <v/>
      </c>
      <c r="F68" s="63">
        <f>(B68/wo)^2*(Ma-1)*IF(answer,MC,1)/SQRT((1-B68^2/wp^2)^2+(B68/wo)^2*(1-B68^2/wo^2)^2*((Ma-1)*Q.e*0.4)^2)</f>
        <v/>
      </c>
      <c r="G68" s="63">
        <f>(B68/wo)^2*(Ma-1)*IF(answer,MC,1)/SQRT((1-B68^2/wp^2)^2+(B68/wo)^2*(1-B68^2/wo^2)^2*((Ma-1)*Q.e*0.2)^2)</f>
        <v/>
      </c>
      <c r="H68">
        <f>M_min</f>
        <v/>
      </c>
      <c r="I68">
        <f>Max_Gain_required</f>
        <v/>
      </c>
    </row>
    <row r="69">
      <c r="A69" s="61">
        <f>A68*10^0.008</f>
        <v/>
      </c>
      <c r="B69" s="62">
        <f>2000*3.14*A69</f>
        <v/>
      </c>
      <c r="C69" s="63">
        <f>(B69/wo)^2*(Ma-1)*IF(answer,MC,1)/SQRT((1-B69^2/wp^2)^2+(B69/wo)^2*(1-B69^2/wo^2)^2*((Ma-1)*Q.e)^2)</f>
        <v/>
      </c>
      <c r="D69" s="63">
        <f>(B69/wo)^2*(Ma-1)*IF(answer,MC,1)/SQRT((1-B69^2/wp^2)^2+(B69/wo)^2*(1-B69^2/wo^2)^2*((Ma-1)*Q.e*0.8)^2)</f>
        <v/>
      </c>
      <c r="E69" s="63">
        <f>(B69/wo)^2*(Ma-1)*IF(answer,MC,1)/SQRT((1-B69^2/wp^2)^2+(B69/wo)^2*(1-B69^2/wo^2)^2*((Ma-1)*Q.e*0.6)^2)</f>
        <v/>
      </c>
      <c r="F69" s="63">
        <f>(B69/wo)^2*(Ma-1)*IF(answer,MC,1)/SQRT((1-B69^2/wp^2)^2+(B69/wo)^2*(1-B69^2/wo^2)^2*((Ma-1)*Q.e*0.4)^2)</f>
        <v/>
      </c>
      <c r="G69" s="63">
        <f>(B69/wo)^2*(Ma-1)*IF(answer,MC,1)/SQRT((1-B69^2/wp^2)^2+(B69/wo)^2*(1-B69^2/wo^2)^2*((Ma-1)*Q.e*0.2)^2)</f>
        <v/>
      </c>
      <c r="H69">
        <f>M_min</f>
        <v/>
      </c>
      <c r="I69">
        <f>Max_Gain_required</f>
        <v/>
      </c>
    </row>
    <row r="70">
      <c r="A70" s="61">
        <f>A69*10^0.008</f>
        <v/>
      </c>
      <c r="B70" s="62">
        <f>2000*3.14*A70</f>
        <v/>
      </c>
      <c r="C70" s="63">
        <f>(B70/wo)^2*(Ma-1)*IF(answer,MC,1)/SQRT((1-B70^2/wp^2)^2+(B70/wo)^2*(1-B70^2/wo^2)^2*((Ma-1)*Q.e)^2)</f>
        <v/>
      </c>
      <c r="D70" s="63">
        <f>(B70/wo)^2*(Ma-1)*IF(answer,MC,1)/SQRT((1-B70^2/wp^2)^2+(B70/wo)^2*(1-B70^2/wo^2)^2*((Ma-1)*Q.e*0.8)^2)</f>
        <v/>
      </c>
      <c r="E70" s="63">
        <f>(B70/wo)^2*(Ma-1)*IF(answer,MC,1)/SQRT((1-B70^2/wp^2)^2+(B70/wo)^2*(1-B70^2/wo^2)^2*((Ma-1)*Q.e*0.6)^2)</f>
        <v/>
      </c>
      <c r="F70" s="63">
        <f>(B70/wo)^2*(Ma-1)*IF(answer,MC,1)/SQRT((1-B70^2/wp^2)^2+(B70/wo)^2*(1-B70^2/wo^2)^2*((Ma-1)*Q.e*0.4)^2)</f>
        <v/>
      </c>
      <c r="G70" s="63">
        <f>(B70/wo)^2*(Ma-1)*IF(answer,MC,1)/SQRT((1-B70^2/wp^2)^2+(B70/wo)^2*(1-B70^2/wo^2)^2*((Ma-1)*Q.e*0.2)^2)</f>
        <v/>
      </c>
      <c r="H70">
        <f>M_min</f>
        <v/>
      </c>
      <c r="I70">
        <f>Max_Gain_required</f>
        <v/>
      </c>
    </row>
    <row r="71">
      <c r="A71" s="61">
        <f>A70*10^0.008</f>
        <v/>
      </c>
      <c r="B71" s="62">
        <f>2000*3.14*A71</f>
        <v/>
      </c>
      <c r="C71" s="63">
        <f>(B71/wo)^2*(Ma-1)*IF(answer,MC,1)/SQRT((1-B71^2/wp^2)^2+(B71/wo)^2*(1-B71^2/wo^2)^2*((Ma-1)*Q.e)^2)</f>
        <v/>
      </c>
      <c r="D71" s="63">
        <f>(B71/wo)^2*(Ma-1)*IF(answer,MC,1)/SQRT((1-B71^2/wp^2)^2+(B71/wo)^2*(1-B71^2/wo^2)^2*((Ma-1)*Q.e*0.8)^2)</f>
        <v/>
      </c>
      <c r="E71" s="63">
        <f>(B71/wo)^2*(Ma-1)*IF(answer,MC,1)/SQRT((1-B71^2/wp^2)^2+(B71/wo)^2*(1-B71^2/wo^2)^2*((Ma-1)*Q.e*0.6)^2)</f>
        <v/>
      </c>
      <c r="F71" s="63">
        <f>(B71/wo)^2*(Ma-1)*IF(answer,MC,1)/SQRT((1-B71^2/wp^2)^2+(B71/wo)^2*(1-B71^2/wo^2)^2*((Ma-1)*Q.e*0.4)^2)</f>
        <v/>
      </c>
      <c r="G71" s="63">
        <f>(B71/wo)^2*(Ma-1)*IF(answer,MC,1)/SQRT((1-B71^2/wp^2)^2+(B71/wo)^2*(1-B71^2/wo^2)^2*((Ma-1)*Q.e*0.2)^2)</f>
        <v/>
      </c>
      <c r="H71">
        <f>M_min</f>
        <v/>
      </c>
      <c r="I71">
        <f>Max_Gain_required</f>
        <v/>
      </c>
    </row>
    <row r="72">
      <c r="A72" s="61">
        <f>A71*10^0.008</f>
        <v/>
      </c>
      <c r="B72" s="62">
        <f>2000*3.14*A72</f>
        <v/>
      </c>
      <c r="C72" s="63">
        <f>(B72/wo)^2*(Ma-1)*IF(answer,MC,1)/SQRT((1-B72^2/wp^2)^2+(B72/wo)^2*(1-B72^2/wo^2)^2*((Ma-1)*Q.e)^2)</f>
        <v/>
      </c>
      <c r="D72" s="63">
        <f>(B72/wo)^2*(Ma-1)*IF(answer,MC,1)/SQRT((1-B72^2/wp^2)^2+(B72/wo)^2*(1-B72^2/wo^2)^2*((Ma-1)*Q.e*0.8)^2)</f>
        <v/>
      </c>
      <c r="E72" s="63">
        <f>(B72/wo)^2*(Ma-1)*IF(answer,MC,1)/SQRT((1-B72^2/wp^2)^2+(B72/wo)^2*(1-B72^2/wo^2)^2*((Ma-1)*Q.e*0.6)^2)</f>
        <v/>
      </c>
      <c r="F72" s="63">
        <f>(B72/wo)^2*(Ma-1)*IF(answer,MC,1)/SQRT((1-B72^2/wp^2)^2+(B72/wo)^2*(1-B72^2/wo^2)^2*((Ma-1)*Q.e*0.4)^2)</f>
        <v/>
      </c>
      <c r="G72" s="63">
        <f>(B72/wo)^2*(Ma-1)*IF(answer,MC,1)/SQRT((1-B72^2/wp^2)^2+(B72/wo)^2*(1-B72^2/wo^2)^2*((Ma-1)*Q.e*0.2)^2)</f>
        <v/>
      </c>
      <c r="H72">
        <f>M_min</f>
        <v/>
      </c>
      <c r="I72">
        <f>Max_Gain_required</f>
        <v/>
      </c>
    </row>
    <row r="73">
      <c r="A73" s="61">
        <f>A72*10^0.008</f>
        <v/>
      </c>
      <c r="B73" s="62">
        <f>2000*3.14*A73</f>
        <v/>
      </c>
      <c r="C73" s="63">
        <f>(B73/wo)^2*(Ma-1)*IF(answer,MC,1)/SQRT((1-B73^2/wp^2)^2+(B73/wo)^2*(1-B73^2/wo^2)^2*((Ma-1)*Q.e)^2)</f>
        <v/>
      </c>
      <c r="D73" s="63">
        <f>(B73/wo)^2*(Ma-1)*IF(answer,MC,1)/SQRT((1-B73^2/wp^2)^2+(B73/wo)^2*(1-B73^2/wo^2)^2*((Ma-1)*Q.e*0.8)^2)</f>
        <v/>
      </c>
      <c r="E73" s="63">
        <f>(B73/wo)^2*(Ma-1)*IF(answer,MC,1)/SQRT((1-B73^2/wp^2)^2+(B73/wo)^2*(1-B73^2/wo^2)^2*((Ma-1)*Q.e*0.6)^2)</f>
        <v/>
      </c>
      <c r="F73" s="63">
        <f>(B73/wo)^2*(Ma-1)*IF(answer,MC,1)/SQRT((1-B73^2/wp^2)^2+(B73/wo)^2*(1-B73^2/wo^2)^2*((Ma-1)*Q.e*0.4)^2)</f>
        <v/>
      </c>
      <c r="G73" s="63">
        <f>(B73/wo)^2*(Ma-1)*IF(answer,MC,1)/SQRT((1-B73^2/wp^2)^2+(B73/wo)^2*(1-B73^2/wo^2)^2*((Ma-1)*Q.e*0.2)^2)</f>
        <v/>
      </c>
      <c r="H73">
        <f>M_min</f>
        <v/>
      </c>
      <c r="I73">
        <f>Max_Gain_required</f>
        <v/>
      </c>
    </row>
    <row r="74">
      <c r="A74" s="61">
        <f>A73*10^0.008</f>
        <v/>
      </c>
      <c r="B74" s="62">
        <f>2000*3.14*A74</f>
        <v/>
      </c>
      <c r="C74" s="63">
        <f>(B74/wo)^2*(Ma-1)*IF(answer,MC,1)/SQRT((1-B74^2/wp^2)^2+(B74/wo)^2*(1-B74^2/wo^2)^2*((Ma-1)*Q.e)^2)</f>
        <v/>
      </c>
      <c r="D74" s="63">
        <f>(B74/wo)^2*(Ma-1)*IF(answer,MC,1)/SQRT((1-B74^2/wp^2)^2+(B74/wo)^2*(1-B74^2/wo^2)^2*((Ma-1)*Q.e*0.8)^2)</f>
        <v/>
      </c>
      <c r="E74" s="63">
        <f>(B74/wo)^2*(Ma-1)*IF(answer,MC,1)/SQRT((1-B74^2/wp^2)^2+(B74/wo)^2*(1-B74^2/wo^2)^2*((Ma-1)*Q.e*0.6)^2)</f>
        <v/>
      </c>
      <c r="F74" s="63">
        <f>(B74/wo)^2*(Ma-1)*IF(answer,MC,1)/SQRT((1-B74^2/wp^2)^2+(B74/wo)^2*(1-B74^2/wo^2)^2*((Ma-1)*Q.e*0.4)^2)</f>
        <v/>
      </c>
      <c r="G74" s="63">
        <f>(B74/wo)^2*(Ma-1)*IF(answer,MC,1)/SQRT((1-B74^2/wp^2)^2+(B74/wo)^2*(1-B74^2/wo^2)^2*((Ma-1)*Q.e*0.2)^2)</f>
        <v/>
      </c>
      <c r="H74">
        <f>M_min</f>
        <v/>
      </c>
      <c r="I74">
        <f>Max_Gain_required</f>
        <v/>
      </c>
    </row>
    <row r="75">
      <c r="A75" s="61">
        <f>A74*10^0.008</f>
        <v/>
      </c>
      <c r="B75" s="62">
        <f>2000*3.14*A75</f>
        <v/>
      </c>
      <c r="C75" s="63">
        <f>(B75/wo)^2*(Ma-1)*IF(answer,MC,1)/SQRT((1-B75^2/wp^2)^2+(B75/wo)^2*(1-B75^2/wo^2)^2*((Ma-1)*Q.e)^2)</f>
        <v/>
      </c>
      <c r="D75" s="63">
        <f>(B75/wo)^2*(Ma-1)*IF(answer,MC,1)/SQRT((1-B75^2/wp^2)^2+(B75/wo)^2*(1-B75^2/wo^2)^2*((Ma-1)*Q.e*0.8)^2)</f>
        <v/>
      </c>
      <c r="E75" s="63">
        <f>(B75/wo)^2*(Ma-1)*IF(answer,MC,1)/SQRT((1-B75^2/wp^2)^2+(B75/wo)^2*(1-B75^2/wo^2)^2*((Ma-1)*Q.e*0.6)^2)</f>
        <v/>
      </c>
      <c r="F75" s="63">
        <f>(B75/wo)^2*(Ma-1)*IF(answer,MC,1)/SQRT((1-B75^2/wp^2)^2+(B75/wo)^2*(1-B75^2/wo^2)^2*((Ma-1)*Q.e*0.4)^2)</f>
        <v/>
      </c>
      <c r="G75" s="63">
        <f>(B75/wo)^2*(Ma-1)*IF(answer,MC,1)/SQRT((1-B75^2/wp^2)^2+(B75/wo)^2*(1-B75^2/wo^2)^2*((Ma-1)*Q.e*0.2)^2)</f>
        <v/>
      </c>
      <c r="H75">
        <f>M_min</f>
        <v/>
      </c>
      <c r="I75">
        <f>Max_Gain_required</f>
        <v/>
      </c>
    </row>
    <row r="76">
      <c r="A76" s="61">
        <f>A75*10^0.008</f>
        <v/>
      </c>
      <c r="B76" s="62">
        <f>2000*3.14*A76</f>
        <v/>
      </c>
      <c r="C76" s="63">
        <f>(B76/wo)^2*(Ma-1)*IF(answer,MC,1)/SQRT((1-B76^2/wp^2)^2+(B76/wo)^2*(1-B76^2/wo^2)^2*((Ma-1)*Q.e)^2)</f>
        <v/>
      </c>
      <c r="D76" s="63">
        <f>(B76/wo)^2*(Ma-1)*IF(answer,MC,1)/SQRT((1-B76^2/wp^2)^2+(B76/wo)^2*(1-B76^2/wo^2)^2*((Ma-1)*Q.e*0.8)^2)</f>
        <v/>
      </c>
      <c r="E76" s="63">
        <f>(B76/wo)^2*(Ma-1)*IF(answer,MC,1)/SQRT((1-B76^2/wp^2)^2+(B76/wo)^2*(1-B76^2/wo^2)^2*((Ma-1)*Q.e*0.6)^2)</f>
        <v/>
      </c>
      <c r="F76" s="63">
        <f>(B76/wo)^2*(Ma-1)*IF(answer,MC,1)/SQRT((1-B76^2/wp^2)^2+(B76/wo)^2*(1-B76^2/wo^2)^2*((Ma-1)*Q.e*0.4)^2)</f>
        <v/>
      </c>
      <c r="G76" s="63">
        <f>(B76/wo)^2*(Ma-1)*IF(answer,MC,1)/SQRT((1-B76^2/wp^2)^2+(B76/wo)^2*(1-B76^2/wo^2)^2*((Ma-1)*Q.e*0.2)^2)</f>
        <v/>
      </c>
      <c r="H76">
        <f>M_min</f>
        <v/>
      </c>
      <c r="I76">
        <f>Max_Gain_required</f>
        <v/>
      </c>
    </row>
    <row r="77">
      <c r="A77" s="61">
        <f>A76*10^0.008</f>
        <v/>
      </c>
      <c r="B77" s="62">
        <f>2000*3.14*A77</f>
        <v/>
      </c>
      <c r="C77" s="63">
        <f>(B77/wo)^2*(Ma-1)*IF(answer,MC,1)/SQRT((1-B77^2/wp^2)^2+(B77/wo)^2*(1-B77^2/wo^2)^2*((Ma-1)*Q.e)^2)</f>
        <v/>
      </c>
      <c r="D77" s="63">
        <f>(B77/wo)^2*(Ma-1)*IF(answer,MC,1)/SQRT((1-B77^2/wp^2)^2+(B77/wo)^2*(1-B77^2/wo^2)^2*((Ma-1)*Q.e*0.8)^2)</f>
        <v/>
      </c>
      <c r="E77" s="63">
        <f>(B77/wo)^2*(Ma-1)*IF(answer,MC,1)/SQRT((1-B77^2/wp^2)^2+(B77/wo)^2*(1-B77^2/wo^2)^2*((Ma-1)*Q.e*0.6)^2)</f>
        <v/>
      </c>
      <c r="F77" s="63">
        <f>(B77/wo)^2*(Ma-1)*IF(answer,MC,1)/SQRT((1-B77^2/wp^2)^2+(B77/wo)^2*(1-B77^2/wo^2)^2*((Ma-1)*Q.e*0.4)^2)</f>
        <v/>
      </c>
      <c r="G77" s="63">
        <f>(B77/wo)^2*(Ma-1)*IF(answer,MC,1)/SQRT((1-B77^2/wp^2)^2+(B77/wo)^2*(1-B77^2/wo^2)^2*((Ma-1)*Q.e*0.2)^2)</f>
        <v/>
      </c>
      <c r="H77">
        <f>M_min</f>
        <v/>
      </c>
      <c r="I77">
        <f>Max_Gain_required</f>
        <v/>
      </c>
    </row>
    <row r="78">
      <c r="A78" s="61">
        <f>A77*10^0.008</f>
        <v/>
      </c>
      <c r="B78" s="62">
        <f>2000*3.14*A78</f>
        <v/>
      </c>
      <c r="C78" s="63">
        <f>(B78/wo)^2*(Ma-1)*IF(answer,MC,1)/SQRT((1-B78^2/wp^2)^2+(B78/wo)^2*(1-B78^2/wo^2)^2*((Ma-1)*Q.e)^2)</f>
        <v/>
      </c>
      <c r="D78" s="63">
        <f>(B78/wo)^2*(Ma-1)*IF(answer,MC,1)/SQRT((1-B78^2/wp^2)^2+(B78/wo)^2*(1-B78^2/wo^2)^2*((Ma-1)*Q.e*0.8)^2)</f>
        <v/>
      </c>
      <c r="E78" s="63">
        <f>(B78/wo)^2*(Ma-1)*IF(answer,MC,1)/SQRT((1-B78^2/wp^2)^2+(B78/wo)^2*(1-B78^2/wo^2)^2*((Ma-1)*Q.e*0.6)^2)</f>
        <v/>
      </c>
      <c r="F78" s="63">
        <f>(B78/wo)^2*(Ma-1)*IF(answer,MC,1)/SQRT((1-B78^2/wp^2)^2+(B78/wo)^2*(1-B78^2/wo^2)^2*((Ma-1)*Q.e*0.4)^2)</f>
        <v/>
      </c>
      <c r="G78" s="63">
        <f>(B78/wo)^2*(Ma-1)*IF(answer,MC,1)/SQRT((1-B78^2/wp^2)^2+(B78/wo)^2*(1-B78^2/wo^2)^2*((Ma-1)*Q.e*0.2)^2)</f>
        <v/>
      </c>
      <c r="H78">
        <f>M_min</f>
        <v/>
      </c>
      <c r="I78">
        <f>Max_Gain_required</f>
        <v/>
      </c>
    </row>
    <row r="79">
      <c r="A79" s="61">
        <f>A78*10^0.008</f>
        <v/>
      </c>
      <c r="B79" s="62">
        <f>2000*3.14*A79</f>
        <v/>
      </c>
      <c r="C79" s="63">
        <f>(B79/wo)^2*(Ma-1)*IF(answer,MC,1)/SQRT((1-B79^2/wp^2)^2+(B79/wo)^2*(1-B79^2/wo^2)^2*((Ma-1)*Q.e)^2)</f>
        <v/>
      </c>
      <c r="D79" s="63">
        <f>(B79/wo)^2*(Ma-1)*IF(answer,MC,1)/SQRT((1-B79^2/wp^2)^2+(B79/wo)^2*(1-B79^2/wo^2)^2*((Ma-1)*Q.e*0.8)^2)</f>
        <v/>
      </c>
      <c r="E79" s="63">
        <f>(B79/wo)^2*(Ma-1)*IF(answer,MC,1)/SQRT((1-B79^2/wp^2)^2+(B79/wo)^2*(1-B79^2/wo^2)^2*((Ma-1)*Q.e*0.6)^2)</f>
        <v/>
      </c>
      <c r="F79" s="63">
        <f>(B79/wo)^2*(Ma-1)*IF(answer,MC,1)/SQRT((1-B79^2/wp^2)^2+(B79/wo)^2*(1-B79^2/wo^2)^2*((Ma-1)*Q.e*0.4)^2)</f>
        <v/>
      </c>
      <c r="G79" s="63">
        <f>(B79/wo)^2*(Ma-1)*IF(answer,MC,1)/SQRT((1-B79^2/wp^2)^2+(B79/wo)^2*(1-B79^2/wo^2)^2*((Ma-1)*Q.e*0.2)^2)</f>
        <v/>
      </c>
      <c r="H79">
        <f>M_min</f>
        <v/>
      </c>
      <c r="I79">
        <f>Max_Gain_required</f>
        <v/>
      </c>
    </row>
    <row r="80">
      <c r="A80" s="61">
        <f>A79*10^0.008</f>
        <v/>
      </c>
      <c r="B80" s="62">
        <f>2000*3.14*A80</f>
        <v/>
      </c>
      <c r="C80" s="63">
        <f>(B80/wo)^2*(Ma-1)*IF(answer,MC,1)/SQRT((1-B80^2/wp^2)^2+(B80/wo)^2*(1-B80^2/wo^2)^2*((Ma-1)*Q.e)^2)</f>
        <v/>
      </c>
      <c r="D80" s="63">
        <f>(B80/wo)^2*(Ma-1)*IF(answer,MC,1)/SQRT((1-B80^2/wp^2)^2+(B80/wo)^2*(1-B80^2/wo^2)^2*((Ma-1)*Q.e*0.8)^2)</f>
        <v/>
      </c>
      <c r="E80" s="63">
        <f>(B80/wo)^2*(Ma-1)*IF(answer,MC,1)/SQRT((1-B80^2/wp^2)^2+(B80/wo)^2*(1-B80^2/wo^2)^2*((Ma-1)*Q.e*0.6)^2)</f>
        <v/>
      </c>
      <c r="F80" s="63">
        <f>(B80/wo)^2*(Ma-1)*IF(answer,MC,1)/SQRT((1-B80^2/wp^2)^2+(B80/wo)^2*(1-B80^2/wo^2)^2*((Ma-1)*Q.e*0.4)^2)</f>
        <v/>
      </c>
      <c r="G80" s="63">
        <f>(B80/wo)^2*(Ma-1)*IF(answer,MC,1)/SQRT((1-B80^2/wp^2)^2+(B80/wo)^2*(1-B80^2/wo^2)^2*((Ma-1)*Q.e*0.2)^2)</f>
        <v/>
      </c>
      <c r="H80">
        <f>M_min</f>
        <v/>
      </c>
      <c r="I80">
        <f>Max_Gain_required</f>
        <v/>
      </c>
    </row>
    <row r="81">
      <c r="A81" s="61">
        <f>A80*10^0.008</f>
        <v/>
      </c>
      <c r="B81" s="62">
        <f>2000*3.14*A81</f>
        <v/>
      </c>
      <c r="C81" s="63">
        <f>(B81/wo)^2*(Ma-1)*IF(answer,MC,1)/SQRT((1-B81^2/wp^2)^2+(B81/wo)^2*(1-B81^2/wo^2)^2*((Ma-1)*Q.e)^2)</f>
        <v/>
      </c>
      <c r="D81" s="63">
        <f>(B81/wo)^2*(Ma-1)*IF(answer,MC,1)/SQRT((1-B81^2/wp^2)^2+(B81/wo)^2*(1-B81^2/wo^2)^2*((Ma-1)*Q.e*0.8)^2)</f>
        <v/>
      </c>
      <c r="E81" s="63">
        <f>(B81/wo)^2*(Ma-1)*IF(answer,MC,1)/SQRT((1-B81^2/wp^2)^2+(B81/wo)^2*(1-B81^2/wo^2)^2*((Ma-1)*Q.e*0.6)^2)</f>
        <v/>
      </c>
      <c r="F81" s="63">
        <f>(B81/wo)^2*(Ma-1)*IF(answer,MC,1)/SQRT((1-B81^2/wp^2)^2+(B81/wo)^2*(1-B81^2/wo^2)^2*((Ma-1)*Q.e*0.4)^2)</f>
        <v/>
      </c>
      <c r="G81" s="63">
        <f>(B81/wo)^2*(Ma-1)*IF(answer,MC,1)/SQRT((1-B81^2/wp^2)^2+(B81/wo)^2*(1-B81^2/wo^2)^2*((Ma-1)*Q.e*0.2)^2)</f>
        <v/>
      </c>
      <c r="H81">
        <f>M_min</f>
        <v/>
      </c>
      <c r="I81">
        <f>Max_Gain_required</f>
        <v/>
      </c>
    </row>
    <row r="82">
      <c r="A82" s="61">
        <f>A81*10^0.008</f>
        <v/>
      </c>
      <c r="B82" s="62">
        <f>2000*3.14*A82</f>
        <v/>
      </c>
      <c r="C82" s="63">
        <f>(B82/wo)^2*(Ma-1)*IF(answer,MC,1)/SQRT((1-B82^2/wp^2)^2+(B82/wo)^2*(1-B82^2/wo^2)^2*((Ma-1)*Q.e)^2)</f>
        <v/>
      </c>
      <c r="D82" s="63">
        <f>(B82/wo)^2*(Ma-1)*IF(answer,MC,1)/SQRT((1-B82^2/wp^2)^2+(B82/wo)^2*(1-B82^2/wo^2)^2*((Ma-1)*Q.e*0.8)^2)</f>
        <v/>
      </c>
      <c r="E82" s="63">
        <f>(B82/wo)^2*(Ma-1)*IF(answer,MC,1)/SQRT((1-B82^2/wp^2)^2+(B82/wo)^2*(1-B82^2/wo^2)^2*((Ma-1)*Q.e*0.6)^2)</f>
        <v/>
      </c>
      <c r="F82" s="63">
        <f>(B82/wo)^2*(Ma-1)*IF(answer,MC,1)/SQRT((1-B82^2/wp^2)^2+(B82/wo)^2*(1-B82^2/wo^2)^2*((Ma-1)*Q.e*0.4)^2)</f>
        <v/>
      </c>
      <c r="G82" s="63">
        <f>(B82/wo)^2*(Ma-1)*IF(answer,MC,1)/SQRT((1-B82^2/wp^2)^2+(B82/wo)^2*(1-B82^2/wo^2)^2*((Ma-1)*Q.e*0.2)^2)</f>
        <v/>
      </c>
      <c r="H82">
        <f>M_min</f>
        <v/>
      </c>
      <c r="I82">
        <f>Max_Gain_required</f>
        <v/>
      </c>
    </row>
    <row r="83">
      <c r="A83" s="61">
        <f>A82*10^0.008</f>
        <v/>
      </c>
      <c r="B83" s="62">
        <f>2000*3.14*A83</f>
        <v/>
      </c>
      <c r="C83" s="63">
        <f>(B83/wo)^2*(Ma-1)*IF(answer,MC,1)/SQRT((1-B83^2/wp^2)^2+(B83/wo)^2*(1-B83^2/wo^2)^2*((Ma-1)*Q.e)^2)</f>
        <v/>
      </c>
      <c r="D83" s="63">
        <f>(B83/wo)^2*(Ma-1)*IF(answer,MC,1)/SQRT((1-B83^2/wp^2)^2+(B83/wo)^2*(1-B83^2/wo^2)^2*((Ma-1)*Q.e*0.8)^2)</f>
        <v/>
      </c>
      <c r="E83" s="63">
        <f>(B83/wo)^2*(Ma-1)*IF(answer,MC,1)/SQRT((1-B83^2/wp^2)^2+(B83/wo)^2*(1-B83^2/wo^2)^2*((Ma-1)*Q.e*0.6)^2)</f>
        <v/>
      </c>
      <c r="F83" s="63">
        <f>(B83/wo)^2*(Ma-1)*IF(answer,MC,1)/SQRT((1-B83^2/wp^2)^2+(B83/wo)^2*(1-B83^2/wo^2)^2*((Ma-1)*Q.e*0.4)^2)</f>
        <v/>
      </c>
      <c r="G83" s="63">
        <f>(B83/wo)^2*(Ma-1)*IF(answer,MC,1)/SQRT((1-B83^2/wp^2)^2+(B83/wo)^2*(1-B83^2/wo^2)^2*((Ma-1)*Q.e*0.2)^2)</f>
        <v/>
      </c>
      <c r="H83">
        <f>M_min</f>
        <v/>
      </c>
      <c r="I83">
        <f>Max_Gain_required</f>
        <v/>
      </c>
    </row>
    <row r="84">
      <c r="A84" s="61">
        <f>A83*10^0.008</f>
        <v/>
      </c>
      <c r="B84" s="62">
        <f>2000*3.14*A84</f>
        <v/>
      </c>
      <c r="C84" s="63">
        <f>(B84/wo)^2*(Ma-1)*IF(answer,MC,1)/SQRT((1-B84^2/wp^2)^2+(B84/wo)^2*(1-B84^2/wo^2)^2*((Ma-1)*Q.e)^2)</f>
        <v/>
      </c>
      <c r="D84" s="63">
        <f>(B84/wo)^2*(Ma-1)*IF(answer,MC,1)/SQRT((1-B84^2/wp^2)^2+(B84/wo)^2*(1-B84^2/wo^2)^2*((Ma-1)*Q.e*0.8)^2)</f>
        <v/>
      </c>
      <c r="E84" s="63">
        <f>(B84/wo)^2*(Ma-1)*IF(answer,MC,1)/SQRT((1-B84^2/wp^2)^2+(B84/wo)^2*(1-B84^2/wo^2)^2*((Ma-1)*Q.e*0.6)^2)</f>
        <v/>
      </c>
      <c r="F84" s="63">
        <f>(B84/wo)^2*(Ma-1)*IF(answer,MC,1)/SQRT((1-B84^2/wp^2)^2+(B84/wo)^2*(1-B84^2/wo^2)^2*((Ma-1)*Q.e*0.4)^2)</f>
        <v/>
      </c>
      <c r="G84" s="63">
        <f>(B84/wo)^2*(Ma-1)*IF(answer,MC,1)/SQRT((1-B84^2/wp^2)^2+(B84/wo)^2*(1-B84^2/wo^2)^2*((Ma-1)*Q.e*0.2)^2)</f>
        <v/>
      </c>
      <c r="H84">
        <f>M_min</f>
        <v/>
      </c>
      <c r="I84">
        <f>Max_Gain_required</f>
        <v/>
      </c>
    </row>
    <row r="85">
      <c r="A85" s="61">
        <f>A84*10^0.008</f>
        <v/>
      </c>
      <c r="B85" s="62">
        <f>2000*3.14*A85</f>
        <v/>
      </c>
      <c r="C85" s="63">
        <f>(B85/wo)^2*(Ma-1)*IF(answer,MC,1)/SQRT((1-B85^2/wp^2)^2+(B85/wo)^2*(1-B85^2/wo^2)^2*((Ma-1)*Q.e)^2)</f>
        <v/>
      </c>
      <c r="D85" s="63">
        <f>(B85/wo)^2*(Ma-1)*IF(answer,MC,1)/SQRT((1-B85^2/wp^2)^2+(B85/wo)^2*(1-B85^2/wo^2)^2*((Ma-1)*Q.e*0.8)^2)</f>
        <v/>
      </c>
      <c r="E85" s="63">
        <f>(B85/wo)^2*(Ma-1)*IF(answer,MC,1)/SQRT((1-B85^2/wp^2)^2+(B85/wo)^2*(1-B85^2/wo^2)^2*((Ma-1)*Q.e*0.6)^2)</f>
        <v/>
      </c>
      <c r="F85" s="63">
        <f>(B85/wo)^2*(Ma-1)*IF(answer,MC,1)/SQRT((1-B85^2/wp^2)^2+(B85/wo)^2*(1-B85^2/wo^2)^2*((Ma-1)*Q.e*0.4)^2)</f>
        <v/>
      </c>
      <c r="G85" s="63">
        <f>(B85/wo)^2*(Ma-1)*IF(answer,MC,1)/SQRT((1-B85^2/wp^2)^2+(B85/wo)^2*(1-B85^2/wo^2)^2*((Ma-1)*Q.e*0.2)^2)</f>
        <v/>
      </c>
      <c r="H85">
        <f>M_min</f>
        <v/>
      </c>
      <c r="I85">
        <f>Max_Gain_required</f>
        <v/>
      </c>
    </row>
    <row r="86">
      <c r="A86" s="61">
        <f>A85*10^0.008</f>
        <v/>
      </c>
      <c r="B86" s="62">
        <f>2000*3.14*A86</f>
        <v/>
      </c>
      <c r="C86" s="63">
        <f>(B86/wo)^2*(Ma-1)*IF(answer,MC,1)/SQRT((1-B86^2/wp^2)^2+(B86/wo)^2*(1-B86^2/wo^2)^2*((Ma-1)*Q.e)^2)</f>
        <v/>
      </c>
      <c r="D86" s="63">
        <f>(B86/wo)^2*(Ma-1)*IF(answer,MC,1)/SQRT((1-B86^2/wp^2)^2+(B86/wo)^2*(1-B86^2/wo^2)^2*((Ma-1)*Q.e*0.8)^2)</f>
        <v/>
      </c>
      <c r="E86" s="63">
        <f>(B86/wo)^2*(Ma-1)*IF(answer,MC,1)/SQRT((1-B86^2/wp^2)^2+(B86/wo)^2*(1-B86^2/wo^2)^2*((Ma-1)*Q.e*0.6)^2)</f>
        <v/>
      </c>
      <c r="F86" s="63">
        <f>(B86/wo)^2*(Ma-1)*IF(answer,MC,1)/SQRT((1-B86^2/wp^2)^2+(B86/wo)^2*(1-B86^2/wo^2)^2*((Ma-1)*Q.e*0.4)^2)</f>
        <v/>
      </c>
      <c r="G86" s="63">
        <f>(B86/wo)^2*(Ma-1)*IF(answer,MC,1)/SQRT((1-B86^2/wp^2)^2+(B86/wo)^2*(1-B86^2/wo^2)^2*((Ma-1)*Q.e*0.2)^2)</f>
        <v/>
      </c>
      <c r="H86">
        <f>M_min</f>
        <v/>
      </c>
      <c r="I86">
        <f>Max_Gain_required</f>
        <v/>
      </c>
    </row>
    <row r="87">
      <c r="A87" s="61">
        <f>A86*10^0.008</f>
        <v/>
      </c>
      <c r="B87" s="62">
        <f>2000*3.14*A87</f>
        <v/>
      </c>
      <c r="C87" s="63">
        <f>(B87/wo)^2*(Ma-1)*IF(answer,MC,1)/SQRT((1-B87^2/wp^2)^2+(B87/wo)^2*(1-B87^2/wo^2)^2*((Ma-1)*Q.e)^2)</f>
        <v/>
      </c>
      <c r="D87" s="63">
        <f>(B87/wo)^2*(Ma-1)*IF(answer,MC,1)/SQRT((1-B87^2/wp^2)^2+(B87/wo)^2*(1-B87^2/wo^2)^2*((Ma-1)*Q.e*0.8)^2)</f>
        <v/>
      </c>
      <c r="E87" s="63">
        <f>(B87/wo)^2*(Ma-1)*IF(answer,MC,1)/SQRT((1-B87^2/wp^2)^2+(B87/wo)^2*(1-B87^2/wo^2)^2*((Ma-1)*Q.e*0.6)^2)</f>
        <v/>
      </c>
      <c r="F87" s="63">
        <f>(B87/wo)^2*(Ma-1)*IF(answer,MC,1)/SQRT((1-B87^2/wp^2)^2+(B87/wo)^2*(1-B87^2/wo^2)^2*((Ma-1)*Q.e*0.4)^2)</f>
        <v/>
      </c>
      <c r="G87" s="63">
        <f>(B87/wo)^2*(Ma-1)*IF(answer,MC,1)/SQRT((1-B87^2/wp^2)^2+(B87/wo)^2*(1-B87^2/wo^2)^2*((Ma-1)*Q.e*0.2)^2)</f>
        <v/>
      </c>
      <c r="H87">
        <f>M_min</f>
        <v/>
      </c>
      <c r="I87">
        <f>Max_Gain_required</f>
        <v/>
      </c>
    </row>
    <row r="88">
      <c r="A88" s="61">
        <f>A87*10^0.008</f>
        <v/>
      </c>
      <c r="B88" s="62">
        <f>2000*3.14*A88</f>
        <v/>
      </c>
      <c r="C88" s="63">
        <f>(B88/wo)^2*(Ma-1)*IF(answer,MC,1)/SQRT((1-B88^2/wp^2)^2+(B88/wo)^2*(1-B88^2/wo^2)^2*((Ma-1)*Q.e)^2)</f>
        <v/>
      </c>
      <c r="D88" s="63">
        <f>(B88/wo)^2*(Ma-1)*IF(answer,MC,1)/SQRT((1-B88^2/wp^2)^2+(B88/wo)^2*(1-B88^2/wo^2)^2*((Ma-1)*Q.e*0.8)^2)</f>
        <v/>
      </c>
      <c r="E88" s="63">
        <f>(B88/wo)^2*(Ma-1)*IF(answer,MC,1)/SQRT((1-B88^2/wp^2)^2+(B88/wo)^2*(1-B88^2/wo^2)^2*((Ma-1)*Q.e*0.6)^2)</f>
        <v/>
      </c>
      <c r="F88" s="63">
        <f>(B88/wo)^2*(Ma-1)*IF(answer,MC,1)/SQRT((1-B88^2/wp^2)^2+(B88/wo)^2*(1-B88^2/wo^2)^2*((Ma-1)*Q.e*0.4)^2)</f>
        <v/>
      </c>
      <c r="G88" s="63">
        <f>(B88/wo)^2*(Ma-1)*IF(answer,MC,1)/SQRT((1-B88^2/wp^2)^2+(B88/wo)^2*(1-B88^2/wo^2)^2*((Ma-1)*Q.e*0.2)^2)</f>
        <v/>
      </c>
      <c r="H88">
        <f>M_min</f>
        <v/>
      </c>
      <c r="I88">
        <f>Max_Gain_required</f>
        <v/>
      </c>
    </row>
    <row r="89">
      <c r="A89" s="61">
        <f>A88*10^0.008</f>
        <v/>
      </c>
      <c r="B89" s="62">
        <f>2000*3.14*A89</f>
        <v/>
      </c>
      <c r="C89" s="63">
        <f>(B89/wo)^2*(Ma-1)*IF(answer,MC,1)/SQRT((1-B89^2/wp^2)^2+(B89/wo)^2*(1-B89^2/wo^2)^2*((Ma-1)*Q.e)^2)</f>
        <v/>
      </c>
      <c r="D89" s="63">
        <f>(B89/wo)^2*(Ma-1)*IF(answer,MC,1)/SQRT((1-B89^2/wp^2)^2+(B89/wo)^2*(1-B89^2/wo^2)^2*((Ma-1)*Q.e*0.8)^2)</f>
        <v/>
      </c>
      <c r="E89" s="63">
        <f>(B89/wo)^2*(Ma-1)*IF(answer,MC,1)/SQRT((1-B89^2/wp^2)^2+(B89/wo)^2*(1-B89^2/wo^2)^2*((Ma-1)*Q.e*0.6)^2)</f>
        <v/>
      </c>
      <c r="F89" s="63">
        <f>(B89/wo)^2*(Ma-1)*IF(answer,MC,1)/SQRT((1-B89^2/wp^2)^2+(B89/wo)^2*(1-B89^2/wo^2)^2*((Ma-1)*Q.e*0.4)^2)</f>
        <v/>
      </c>
      <c r="G89" s="63">
        <f>(B89/wo)^2*(Ma-1)*IF(answer,MC,1)/SQRT((1-B89^2/wp^2)^2+(B89/wo)^2*(1-B89^2/wo^2)^2*((Ma-1)*Q.e*0.2)^2)</f>
        <v/>
      </c>
      <c r="H89">
        <f>M_min</f>
        <v/>
      </c>
      <c r="I89">
        <f>Max_Gain_required</f>
        <v/>
      </c>
    </row>
    <row r="90">
      <c r="A90" s="61">
        <f>A89*10^0.008</f>
        <v/>
      </c>
      <c r="B90" s="62">
        <f>2000*3.14*A90</f>
        <v/>
      </c>
      <c r="C90" s="63">
        <f>(B90/wo)^2*(Ma-1)*IF(answer,MC,1)/SQRT((1-B90^2/wp^2)^2+(B90/wo)^2*(1-B90^2/wo^2)^2*((Ma-1)*Q.e)^2)</f>
        <v/>
      </c>
      <c r="D90" s="63">
        <f>(B90/wo)^2*(Ma-1)*IF(answer,MC,1)/SQRT((1-B90^2/wp^2)^2+(B90/wo)^2*(1-B90^2/wo^2)^2*((Ma-1)*Q.e*0.8)^2)</f>
        <v/>
      </c>
      <c r="E90" s="63">
        <f>(B90/wo)^2*(Ma-1)*IF(answer,MC,1)/SQRT((1-B90^2/wp^2)^2+(B90/wo)^2*(1-B90^2/wo^2)^2*((Ma-1)*Q.e*0.6)^2)</f>
        <v/>
      </c>
      <c r="F90" s="63">
        <f>(B90/wo)^2*(Ma-1)*IF(answer,MC,1)/SQRT((1-B90^2/wp^2)^2+(B90/wo)^2*(1-B90^2/wo^2)^2*((Ma-1)*Q.e*0.4)^2)</f>
        <v/>
      </c>
      <c r="G90" s="63">
        <f>(B90/wo)^2*(Ma-1)*IF(answer,MC,1)/SQRT((1-B90^2/wp^2)^2+(B90/wo)^2*(1-B90^2/wo^2)^2*((Ma-1)*Q.e*0.2)^2)</f>
        <v/>
      </c>
      <c r="H90">
        <f>M_min</f>
        <v/>
      </c>
      <c r="I90">
        <f>Max_Gain_required</f>
        <v/>
      </c>
    </row>
    <row r="91">
      <c r="A91" s="61">
        <f>A90*10^0.008</f>
        <v/>
      </c>
      <c r="B91" s="62">
        <f>2000*3.14*A91</f>
        <v/>
      </c>
      <c r="C91" s="63">
        <f>(B91/wo)^2*(Ma-1)*IF(answer,MC,1)/SQRT((1-B91^2/wp^2)^2+(B91/wo)^2*(1-B91^2/wo^2)^2*((Ma-1)*Q.e)^2)</f>
        <v/>
      </c>
      <c r="D91" s="63">
        <f>(B91/wo)^2*(Ma-1)*IF(answer,MC,1)/SQRT((1-B91^2/wp^2)^2+(B91/wo)^2*(1-B91^2/wo^2)^2*((Ma-1)*Q.e*0.8)^2)</f>
        <v/>
      </c>
      <c r="E91" s="63">
        <f>(B91/wo)^2*(Ma-1)*IF(answer,MC,1)/SQRT((1-B91^2/wp^2)^2+(B91/wo)^2*(1-B91^2/wo^2)^2*((Ma-1)*Q.e*0.6)^2)</f>
        <v/>
      </c>
      <c r="F91" s="63">
        <f>(B91/wo)^2*(Ma-1)*IF(answer,MC,1)/SQRT((1-B91^2/wp^2)^2+(B91/wo)^2*(1-B91^2/wo^2)^2*((Ma-1)*Q.e*0.4)^2)</f>
        <v/>
      </c>
      <c r="G91" s="63">
        <f>(B91/wo)^2*(Ma-1)*IF(answer,MC,1)/SQRT((1-B91^2/wp^2)^2+(B91/wo)^2*(1-B91^2/wo^2)^2*((Ma-1)*Q.e*0.2)^2)</f>
        <v/>
      </c>
      <c r="H91">
        <f>M_min</f>
        <v/>
      </c>
      <c r="I91">
        <f>Max_Gain_required</f>
        <v/>
      </c>
    </row>
    <row r="92">
      <c r="A92" s="61">
        <f>A91*10^0.008</f>
        <v/>
      </c>
      <c r="B92" s="62">
        <f>2000*3.14*A92</f>
        <v/>
      </c>
      <c r="C92" s="63">
        <f>(B92/wo)^2*(Ma-1)*IF(answer,MC,1)/SQRT((1-B92^2/wp^2)^2+(B92/wo)^2*(1-B92^2/wo^2)^2*((Ma-1)*Q.e)^2)</f>
        <v/>
      </c>
      <c r="D92" s="63">
        <f>(B92/wo)^2*(Ma-1)*IF(answer,MC,1)/SQRT((1-B92^2/wp^2)^2+(B92/wo)^2*(1-B92^2/wo^2)^2*((Ma-1)*Q.e*0.8)^2)</f>
        <v/>
      </c>
      <c r="E92" s="63">
        <f>(B92/wo)^2*(Ma-1)*IF(answer,MC,1)/SQRT((1-B92^2/wp^2)^2+(B92/wo)^2*(1-B92^2/wo^2)^2*((Ma-1)*Q.e*0.6)^2)</f>
        <v/>
      </c>
      <c r="F92" s="63">
        <f>(B92/wo)^2*(Ma-1)*IF(answer,MC,1)/SQRT((1-B92^2/wp^2)^2+(B92/wo)^2*(1-B92^2/wo^2)^2*((Ma-1)*Q.e*0.4)^2)</f>
        <v/>
      </c>
      <c r="G92" s="63">
        <f>(B92/wo)^2*(Ma-1)*IF(answer,MC,1)/SQRT((1-B92^2/wp^2)^2+(B92/wo)^2*(1-B92^2/wo^2)^2*((Ma-1)*Q.e*0.2)^2)</f>
        <v/>
      </c>
      <c r="H92">
        <f>M_min</f>
        <v/>
      </c>
      <c r="I92">
        <f>Max_Gain_required</f>
        <v/>
      </c>
    </row>
    <row r="93">
      <c r="A93" s="61">
        <f>A92*10^0.008</f>
        <v/>
      </c>
      <c r="B93" s="62">
        <f>2000*3.14*A93</f>
        <v/>
      </c>
      <c r="C93" s="63">
        <f>(B93/wo)^2*(Ma-1)*IF(answer,MC,1)/SQRT((1-B93^2/wp^2)^2+(B93/wo)^2*(1-B93^2/wo^2)^2*((Ma-1)*Q.e)^2)</f>
        <v/>
      </c>
      <c r="D93" s="63">
        <f>(B93/wo)^2*(Ma-1)*IF(answer,MC,1)/SQRT((1-B93^2/wp^2)^2+(B93/wo)^2*(1-B93^2/wo^2)^2*((Ma-1)*Q.e*0.8)^2)</f>
        <v/>
      </c>
      <c r="E93" s="63">
        <f>(B93/wo)^2*(Ma-1)*IF(answer,MC,1)/SQRT((1-B93^2/wp^2)^2+(B93/wo)^2*(1-B93^2/wo^2)^2*((Ma-1)*Q.e*0.6)^2)</f>
        <v/>
      </c>
      <c r="F93" s="63">
        <f>(B93/wo)^2*(Ma-1)*IF(answer,MC,1)/SQRT((1-B93^2/wp^2)^2+(B93/wo)^2*(1-B93^2/wo^2)^2*((Ma-1)*Q.e*0.4)^2)</f>
        <v/>
      </c>
      <c r="G93" s="63">
        <f>(B93/wo)^2*(Ma-1)*IF(answer,MC,1)/SQRT((1-B93^2/wp^2)^2+(B93/wo)^2*(1-B93^2/wo^2)^2*((Ma-1)*Q.e*0.2)^2)</f>
        <v/>
      </c>
      <c r="H93">
        <f>M_min</f>
        <v/>
      </c>
      <c r="I93">
        <f>Max_Gain_required</f>
        <v/>
      </c>
    </row>
    <row r="94">
      <c r="A94" s="61">
        <f>A93*10^0.008</f>
        <v/>
      </c>
      <c r="B94" s="62">
        <f>2000*3.14*A94</f>
        <v/>
      </c>
      <c r="C94" s="63">
        <f>(B94/wo)^2*(Ma-1)*IF(answer,MC,1)/SQRT((1-B94^2/wp^2)^2+(B94/wo)^2*(1-B94^2/wo^2)^2*((Ma-1)*Q.e)^2)</f>
        <v/>
      </c>
      <c r="D94" s="63">
        <f>(B94/wo)^2*(Ma-1)*IF(answer,MC,1)/SQRT((1-B94^2/wp^2)^2+(B94/wo)^2*(1-B94^2/wo^2)^2*((Ma-1)*Q.e*0.8)^2)</f>
        <v/>
      </c>
      <c r="E94" s="63">
        <f>(B94/wo)^2*(Ma-1)*IF(answer,MC,1)/SQRT((1-B94^2/wp^2)^2+(B94/wo)^2*(1-B94^2/wo^2)^2*((Ma-1)*Q.e*0.6)^2)</f>
        <v/>
      </c>
      <c r="F94" s="63">
        <f>(B94/wo)^2*(Ma-1)*IF(answer,MC,1)/SQRT((1-B94^2/wp^2)^2+(B94/wo)^2*(1-B94^2/wo^2)^2*((Ma-1)*Q.e*0.4)^2)</f>
        <v/>
      </c>
      <c r="G94" s="63">
        <f>(B94/wo)^2*(Ma-1)*IF(answer,MC,1)/SQRT((1-B94^2/wp^2)^2+(B94/wo)^2*(1-B94^2/wo^2)^2*((Ma-1)*Q.e*0.2)^2)</f>
        <v/>
      </c>
      <c r="H94">
        <f>M_min</f>
        <v/>
      </c>
      <c r="I94">
        <f>Max_Gain_required</f>
        <v/>
      </c>
    </row>
    <row r="95">
      <c r="A95" s="61">
        <f>A94*10^0.008</f>
        <v/>
      </c>
      <c r="B95" s="62">
        <f>2000*3.14*A95</f>
        <v/>
      </c>
      <c r="C95" s="63">
        <f>(B95/wo)^2*(Ma-1)*IF(answer,MC,1)/SQRT((1-B95^2/wp^2)^2+(B95/wo)^2*(1-B95^2/wo^2)^2*((Ma-1)*Q.e)^2)</f>
        <v/>
      </c>
      <c r="D95" s="63">
        <f>(B95/wo)^2*(Ma-1)*IF(answer,MC,1)/SQRT((1-B95^2/wp^2)^2+(B95/wo)^2*(1-B95^2/wo^2)^2*((Ma-1)*Q.e*0.8)^2)</f>
        <v/>
      </c>
      <c r="E95" s="63">
        <f>(B95/wo)^2*(Ma-1)*IF(answer,MC,1)/SQRT((1-B95^2/wp^2)^2+(B95/wo)^2*(1-B95^2/wo^2)^2*((Ma-1)*Q.e*0.6)^2)</f>
        <v/>
      </c>
      <c r="F95" s="63">
        <f>(B95/wo)^2*(Ma-1)*IF(answer,MC,1)/SQRT((1-B95^2/wp^2)^2+(B95/wo)^2*(1-B95^2/wo^2)^2*((Ma-1)*Q.e*0.4)^2)</f>
        <v/>
      </c>
      <c r="G95" s="63">
        <f>(B95/wo)^2*(Ma-1)*IF(answer,MC,1)/SQRT((1-B95^2/wp^2)^2+(B95/wo)^2*(1-B95^2/wo^2)^2*((Ma-1)*Q.e*0.2)^2)</f>
        <v/>
      </c>
      <c r="H95">
        <f>M_min</f>
        <v/>
      </c>
      <c r="I95">
        <f>Max_Gain_required</f>
        <v/>
      </c>
    </row>
    <row r="96">
      <c r="A96" s="61">
        <f>A95*10^0.008</f>
        <v/>
      </c>
      <c r="B96" s="62">
        <f>2000*3.14*A96</f>
        <v/>
      </c>
      <c r="C96" s="63">
        <f>(B96/wo)^2*(Ma-1)*IF(answer,MC,1)/SQRT((1-B96^2/wp^2)^2+(B96/wo)^2*(1-B96^2/wo^2)^2*((Ma-1)*Q.e)^2)</f>
        <v/>
      </c>
      <c r="D96" s="63">
        <f>(B96/wo)^2*(Ma-1)*IF(answer,MC,1)/SQRT((1-B96^2/wp^2)^2+(B96/wo)^2*(1-B96^2/wo^2)^2*((Ma-1)*Q.e*0.8)^2)</f>
        <v/>
      </c>
      <c r="E96" s="63">
        <f>(B96/wo)^2*(Ma-1)*IF(answer,MC,1)/SQRT((1-B96^2/wp^2)^2+(B96/wo)^2*(1-B96^2/wo^2)^2*((Ma-1)*Q.e*0.6)^2)</f>
        <v/>
      </c>
      <c r="F96" s="63">
        <f>(B96/wo)^2*(Ma-1)*IF(answer,MC,1)/SQRT((1-B96^2/wp^2)^2+(B96/wo)^2*(1-B96^2/wo^2)^2*((Ma-1)*Q.e*0.4)^2)</f>
        <v/>
      </c>
      <c r="G96" s="63">
        <f>(B96/wo)^2*(Ma-1)*IF(answer,MC,1)/SQRT((1-B96^2/wp^2)^2+(B96/wo)^2*(1-B96^2/wo^2)^2*((Ma-1)*Q.e*0.2)^2)</f>
        <v/>
      </c>
      <c r="H96">
        <f>M_min</f>
        <v/>
      </c>
      <c r="I96">
        <f>Max_Gain_required</f>
        <v/>
      </c>
    </row>
    <row r="97">
      <c r="A97" s="61">
        <f>A96*10^0.008</f>
        <v/>
      </c>
      <c r="B97" s="62">
        <f>2000*3.14*A97</f>
        <v/>
      </c>
      <c r="C97" s="63">
        <f>(B97/wo)^2*(Ma-1)*IF(answer,MC,1)/SQRT((1-B97^2/wp^2)^2+(B97/wo)^2*(1-B97^2/wo^2)^2*((Ma-1)*Q.e)^2)</f>
        <v/>
      </c>
      <c r="D97" s="63">
        <f>(B97/wo)^2*(Ma-1)*IF(answer,MC,1)/SQRT((1-B97^2/wp^2)^2+(B97/wo)^2*(1-B97^2/wo^2)^2*((Ma-1)*Q.e*0.8)^2)</f>
        <v/>
      </c>
      <c r="E97" s="63">
        <f>(B97/wo)^2*(Ma-1)*IF(answer,MC,1)/SQRT((1-B97^2/wp^2)^2+(B97/wo)^2*(1-B97^2/wo^2)^2*((Ma-1)*Q.e*0.6)^2)</f>
        <v/>
      </c>
      <c r="F97" s="63">
        <f>(B97/wo)^2*(Ma-1)*IF(answer,MC,1)/SQRT((1-B97^2/wp^2)^2+(B97/wo)^2*(1-B97^2/wo^2)^2*((Ma-1)*Q.e*0.4)^2)</f>
        <v/>
      </c>
      <c r="G97" s="63">
        <f>(B97/wo)^2*(Ma-1)*IF(answer,MC,1)/SQRT((1-B97^2/wp^2)^2+(B97/wo)^2*(1-B97^2/wo^2)^2*((Ma-1)*Q.e*0.2)^2)</f>
        <v/>
      </c>
      <c r="H97">
        <f>M_min</f>
        <v/>
      </c>
      <c r="I97">
        <f>Max_Gain_required</f>
        <v/>
      </c>
    </row>
    <row r="98">
      <c r="A98" s="61">
        <f>A97*10^0.008</f>
        <v/>
      </c>
      <c r="B98" s="62">
        <f>2000*3.14*A98</f>
        <v/>
      </c>
      <c r="C98" s="63">
        <f>(B98/wo)^2*(Ma-1)*IF(answer,MC,1)/SQRT((1-B98^2/wp^2)^2+(B98/wo)^2*(1-B98^2/wo^2)^2*((Ma-1)*Q.e)^2)</f>
        <v/>
      </c>
      <c r="D98" s="63">
        <f>(B98/wo)^2*(Ma-1)*IF(answer,MC,1)/SQRT((1-B98^2/wp^2)^2+(B98/wo)^2*(1-B98^2/wo^2)^2*((Ma-1)*Q.e*0.8)^2)</f>
        <v/>
      </c>
      <c r="E98" s="63">
        <f>(B98/wo)^2*(Ma-1)*IF(answer,MC,1)/SQRT((1-B98^2/wp^2)^2+(B98/wo)^2*(1-B98^2/wo^2)^2*((Ma-1)*Q.e*0.6)^2)</f>
        <v/>
      </c>
      <c r="F98" s="63">
        <f>(B98/wo)^2*(Ma-1)*IF(answer,MC,1)/SQRT((1-B98^2/wp^2)^2+(B98/wo)^2*(1-B98^2/wo^2)^2*((Ma-1)*Q.e*0.4)^2)</f>
        <v/>
      </c>
      <c r="G98" s="63">
        <f>(B98/wo)^2*(Ma-1)*IF(answer,MC,1)/SQRT((1-B98^2/wp^2)^2+(B98/wo)^2*(1-B98^2/wo^2)^2*((Ma-1)*Q.e*0.2)^2)</f>
        <v/>
      </c>
      <c r="H98">
        <f>M_min</f>
        <v/>
      </c>
      <c r="I98">
        <f>Max_Gain_required</f>
        <v/>
      </c>
    </row>
    <row r="99">
      <c r="A99" s="61">
        <f>A98*10^0.008</f>
        <v/>
      </c>
      <c r="B99" s="62">
        <f>2000*3.14*A99</f>
        <v/>
      </c>
      <c r="C99" s="63">
        <f>(B99/wo)^2*(Ma-1)*IF(answer,MC,1)/SQRT((1-B99^2/wp^2)^2+(B99/wo)^2*(1-B99^2/wo^2)^2*((Ma-1)*Q.e)^2)</f>
        <v/>
      </c>
      <c r="D99" s="63">
        <f>(B99/wo)^2*(Ma-1)*IF(answer,MC,1)/SQRT((1-B99^2/wp^2)^2+(B99/wo)^2*(1-B99^2/wo^2)^2*((Ma-1)*Q.e*0.8)^2)</f>
        <v/>
      </c>
      <c r="E99" s="63">
        <f>(B99/wo)^2*(Ma-1)*IF(answer,MC,1)/SQRT((1-B99^2/wp^2)^2+(B99/wo)^2*(1-B99^2/wo^2)^2*((Ma-1)*Q.e*0.6)^2)</f>
        <v/>
      </c>
      <c r="F99" s="63">
        <f>(B99/wo)^2*(Ma-1)*IF(answer,MC,1)/SQRT((1-B99^2/wp^2)^2+(B99/wo)^2*(1-B99^2/wo^2)^2*((Ma-1)*Q.e*0.4)^2)</f>
        <v/>
      </c>
      <c r="G99" s="63">
        <f>(B99/wo)^2*(Ma-1)*IF(answer,MC,1)/SQRT((1-B99^2/wp^2)^2+(B99/wo)^2*(1-B99^2/wo^2)^2*((Ma-1)*Q.e*0.2)^2)</f>
        <v/>
      </c>
      <c r="H99">
        <f>M_min</f>
        <v/>
      </c>
      <c r="I99">
        <f>Max_Gain_required</f>
        <v/>
      </c>
    </row>
    <row r="100">
      <c r="A100" s="61">
        <f>A99*10^0.008</f>
        <v/>
      </c>
      <c r="B100" s="62">
        <f>2000*3.14*A100</f>
        <v/>
      </c>
      <c r="C100" s="63">
        <f>(B100/wo)^2*(Ma-1)*IF(answer,MC,1)/SQRT((1-B100^2/wp^2)^2+(B100/wo)^2*(1-B100^2/wo^2)^2*((Ma-1)*Q.e)^2)</f>
        <v/>
      </c>
      <c r="D100" s="63">
        <f>(B100/wo)^2*(Ma-1)*IF(answer,MC,1)/SQRT((1-B100^2/wp^2)^2+(B100/wo)^2*(1-B100^2/wo^2)^2*((Ma-1)*Q.e*0.8)^2)</f>
        <v/>
      </c>
      <c r="E100" s="63">
        <f>(B100/wo)^2*(Ma-1)*IF(answer,MC,1)/SQRT((1-B100^2/wp^2)^2+(B100/wo)^2*(1-B100^2/wo^2)^2*((Ma-1)*Q.e*0.6)^2)</f>
        <v/>
      </c>
      <c r="F100" s="63">
        <f>(B100/wo)^2*(Ma-1)*IF(answer,MC,1)/SQRT((1-B100^2/wp^2)^2+(B100/wo)^2*(1-B100^2/wo^2)^2*((Ma-1)*Q.e*0.4)^2)</f>
        <v/>
      </c>
      <c r="G100" s="63">
        <f>(B100/wo)^2*(Ma-1)*IF(answer,MC,1)/SQRT((1-B100^2/wp^2)^2+(B100/wo)^2*(1-B100^2/wo^2)^2*((Ma-1)*Q.e*0.2)^2)</f>
        <v/>
      </c>
      <c r="H100">
        <f>M_min</f>
        <v/>
      </c>
      <c r="I100">
        <f>Max_Gain_required</f>
        <v/>
      </c>
    </row>
    <row r="101">
      <c r="A101" s="61">
        <f>A100*10^0.008</f>
        <v/>
      </c>
      <c r="B101" s="62">
        <f>2000*3.14*A101</f>
        <v/>
      </c>
      <c r="C101" s="63">
        <f>(B101/wo)^2*(Ma-1)*IF(answer,MC,1)/SQRT((1-B101^2/wp^2)^2+(B101/wo)^2*(1-B101^2/wo^2)^2*((Ma-1)*Q.e)^2)</f>
        <v/>
      </c>
      <c r="D101" s="63">
        <f>(B101/wo)^2*(Ma-1)*IF(answer,MC,1)/SQRT((1-B101^2/wp^2)^2+(B101/wo)^2*(1-B101^2/wo^2)^2*((Ma-1)*Q.e*0.8)^2)</f>
        <v/>
      </c>
      <c r="E101" s="63">
        <f>(B101/wo)^2*(Ma-1)*IF(answer,MC,1)/SQRT((1-B101^2/wp^2)^2+(B101/wo)^2*(1-B101^2/wo^2)^2*((Ma-1)*Q.e*0.6)^2)</f>
        <v/>
      </c>
      <c r="F101" s="63">
        <f>(B101/wo)^2*(Ma-1)*IF(answer,MC,1)/SQRT((1-B101^2/wp^2)^2+(B101/wo)^2*(1-B101^2/wo^2)^2*((Ma-1)*Q.e*0.4)^2)</f>
        <v/>
      </c>
      <c r="G101" s="63">
        <f>(B101/wo)^2*(Ma-1)*IF(answer,MC,1)/SQRT((1-B101^2/wp^2)^2+(B101/wo)^2*(1-B101^2/wo^2)^2*((Ma-1)*Q.e*0.2)^2)</f>
        <v/>
      </c>
      <c r="H101">
        <f>M_min</f>
        <v/>
      </c>
      <c r="I101">
        <f>Max_Gain_required</f>
        <v/>
      </c>
    </row>
    <row r="102">
      <c r="A102" s="61">
        <f>A101*10^0.008</f>
        <v/>
      </c>
      <c r="B102" s="62">
        <f>2000*3.14*A102</f>
        <v/>
      </c>
      <c r="C102" s="63">
        <f>(B102/wo)^2*(Ma-1)*IF(answer,MC,1)/SQRT((1-B102^2/wp^2)^2+(B102/wo)^2*(1-B102^2/wo^2)^2*((Ma-1)*Q.e)^2)</f>
        <v/>
      </c>
      <c r="D102" s="63">
        <f>(B102/wo)^2*(Ma-1)*IF(answer,MC,1)/SQRT((1-B102^2/wp^2)^2+(B102/wo)^2*(1-B102^2/wo^2)^2*((Ma-1)*Q.e*0.8)^2)</f>
        <v/>
      </c>
      <c r="E102" s="63">
        <f>(B102/wo)^2*(Ma-1)*IF(answer,MC,1)/SQRT((1-B102^2/wp^2)^2+(B102/wo)^2*(1-B102^2/wo^2)^2*((Ma-1)*Q.e*0.6)^2)</f>
        <v/>
      </c>
      <c r="F102" s="63">
        <f>(B102/wo)^2*(Ma-1)*IF(answer,MC,1)/SQRT((1-B102^2/wp^2)^2+(B102/wo)^2*(1-B102^2/wo^2)^2*((Ma-1)*Q.e*0.4)^2)</f>
        <v/>
      </c>
      <c r="G102" s="63">
        <f>(B102/wo)^2*(Ma-1)*IF(answer,MC,1)/SQRT((1-B102^2/wp^2)^2+(B102/wo)^2*(1-B102^2/wo^2)^2*((Ma-1)*Q.e*0.2)^2)</f>
        <v/>
      </c>
      <c r="H102">
        <f>M_min</f>
        <v/>
      </c>
      <c r="I102">
        <f>Max_Gain_required</f>
        <v/>
      </c>
    </row>
    <row r="103">
      <c r="A103" s="61">
        <f>A102*10^0.008</f>
        <v/>
      </c>
      <c r="B103" s="62">
        <f>2000*3.14*A103</f>
        <v/>
      </c>
      <c r="C103" s="63">
        <f>(B103/wo)^2*(Ma-1)*IF(answer,MC,1)/SQRT((1-B103^2/wp^2)^2+(B103/wo)^2*(1-B103^2/wo^2)^2*((Ma-1)*Q.e)^2)</f>
        <v/>
      </c>
      <c r="D103" s="63">
        <f>(B103/wo)^2*(Ma-1)*IF(answer,MC,1)/SQRT((1-B103^2/wp^2)^2+(B103/wo)^2*(1-B103^2/wo^2)^2*((Ma-1)*Q.e*0.8)^2)</f>
        <v/>
      </c>
      <c r="E103" s="63">
        <f>(B103/wo)^2*(Ma-1)*IF(answer,MC,1)/SQRT((1-B103^2/wp^2)^2+(B103/wo)^2*(1-B103^2/wo^2)^2*((Ma-1)*Q.e*0.6)^2)</f>
        <v/>
      </c>
      <c r="F103" s="63">
        <f>(B103/wo)^2*(Ma-1)*IF(answer,MC,1)/SQRT((1-B103^2/wp^2)^2+(B103/wo)^2*(1-B103^2/wo^2)^2*((Ma-1)*Q.e*0.4)^2)</f>
        <v/>
      </c>
      <c r="G103" s="63">
        <f>(B103/wo)^2*(Ma-1)*IF(answer,MC,1)/SQRT((1-B103^2/wp^2)^2+(B103/wo)^2*(1-B103^2/wo^2)^2*((Ma-1)*Q.e*0.2)^2)</f>
        <v/>
      </c>
      <c r="H103">
        <f>M_min</f>
        <v/>
      </c>
      <c r="I103">
        <f>Max_Gain_required</f>
        <v/>
      </c>
    </row>
    <row r="104">
      <c r="A104" s="61">
        <f>A103*10^0.008</f>
        <v/>
      </c>
      <c r="B104" s="62">
        <f>2000*3.14*A104</f>
        <v/>
      </c>
      <c r="C104" s="63">
        <f>(B104/wo)^2*(Ma-1)*IF(answer,MC,1)/SQRT((1-B104^2/wp^2)^2+(B104/wo)^2*(1-B104^2/wo^2)^2*((Ma-1)*Q.e)^2)</f>
        <v/>
      </c>
      <c r="D104" s="63">
        <f>(B104/wo)^2*(Ma-1)*IF(answer,MC,1)/SQRT((1-B104^2/wp^2)^2+(B104/wo)^2*(1-B104^2/wo^2)^2*((Ma-1)*Q.e*0.8)^2)</f>
        <v/>
      </c>
      <c r="E104" s="63">
        <f>(B104/wo)^2*(Ma-1)*IF(answer,MC,1)/SQRT((1-B104^2/wp^2)^2+(B104/wo)^2*(1-B104^2/wo^2)^2*((Ma-1)*Q.e*0.6)^2)</f>
        <v/>
      </c>
      <c r="F104" s="63">
        <f>(B104/wo)^2*(Ma-1)*IF(answer,MC,1)/SQRT((1-B104^2/wp^2)^2+(B104/wo)^2*(1-B104^2/wo^2)^2*((Ma-1)*Q.e*0.4)^2)</f>
        <v/>
      </c>
      <c r="G104" s="63">
        <f>(B104/wo)^2*(Ma-1)*IF(answer,MC,1)/SQRT((1-B104^2/wp^2)^2+(B104/wo)^2*(1-B104^2/wo^2)^2*((Ma-1)*Q.e*0.2)^2)</f>
        <v/>
      </c>
      <c r="H104">
        <f>M_min</f>
        <v/>
      </c>
      <c r="I104">
        <f>Max_Gain_required</f>
        <v/>
      </c>
    </row>
    <row r="105">
      <c r="A105" s="61">
        <f>A104*10^0.008</f>
        <v/>
      </c>
      <c r="B105" s="62">
        <f>2000*3.14*A105</f>
        <v/>
      </c>
      <c r="C105" s="63">
        <f>(B105/wo)^2*(Ma-1)*IF(answer,MC,1)/SQRT((1-B105^2/wp^2)^2+(B105/wo)^2*(1-B105^2/wo^2)^2*((Ma-1)*Q.e)^2)</f>
        <v/>
      </c>
      <c r="D105" s="63">
        <f>(B105/wo)^2*(Ma-1)*IF(answer,MC,1)/SQRT((1-B105^2/wp^2)^2+(B105/wo)^2*(1-B105^2/wo^2)^2*((Ma-1)*Q.e*0.8)^2)</f>
        <v/>
      </c>
      <c r="E105" s="63">
        <f>(B105/wo)^2*(Ma-1)*IF(answer,MC,1)/SQRT((1-B105^2/wp^2)^2+(B105/wo)^2*(1-B105^2/wo^2)^2*((Ma-1)*Q.e*0.6)^2)</f>
        <v/>
      </c>
      <c r="F105" s="63">
        <f>(B105/wo)^2*(Ma-1)*IF(answer,MC,1)/SQRT((1-B105^2/wp^2)^2+(B105/wo)^2*(1-B105^2/wo^2)^2*((Ma-1)*Q.e*0.4)^2)</f>
        <v/>
      </c>
      <c r="G105" s="63">
        <f>(B105/wo)^2*(Ma-1)*IF(answer,MC,1)/SQRT((1-B105^2/wp^2)^2+(B105/wo)^2*(1-B105^2/wo^2)^2*((Ma-1)*Q.e*0.2)^2)</f>
        <v/>
      </c>
      <c r="H105">
        <f>M_min</f>
        <v/>
      </c>
      <c r="I105">
        <f>Max_Gain_required</f>
        <v/>
      </c>
    </row>
    <row r="106">
      <c r="A106" s="61">
        <f>A105*10^0.008</f>
        <v/>
      </c>
      <c r="B106" s="62">
        <f>2000*3.14*A106</f>
        <v/>
      </c>
      <c r="C106" s="63">
        <f>(B106/wo)^2*(Ma-1)*IF(answer,MC,1)/SQRT((1-B106^2/wp^2)^2+(B106/wo)^2*(1-B106^2/wo^2)^2*((Ma-1)*Q.e)^2)</f>
        <v/>
      </c>
      <c r="D106" s="63">
        <f>(B106/wo)^2*(Ma-1)*IF(answer,MC,1)/SQRT((1-B106^2/wp^2)^2+(B106/wo)^2*(1-B106^2/wo^2)^2*((Ma-1)*Q.e*0.8)^2)</f>
        <v/>
      </c>
      <c r="E106" s="63">
        <f>(B106/wo)^2*(Ma-1)*IF(answer,MC,1)/SQRT((1-B106^2/wp^2)^2+(B106/wo)^2*(1-B106^2/wo^2)^2*((Ma-1)*Q.e*0.6)^2)</f>
        <v/>
      </c>
      <c r="F106" s="63">
        <f>(B106/wo)^2*(Ma-1)*IF(answer,MC,1)/SQRT((1-B106^2/wp^2)^2+(B106/wo)^2*(1-B106^2/wo^2)^2*((Ma-1)*Q.e*0.4)^2)</f>
        <v/>
      </c>
      <c r="G106" s="63">
        <f>(B106/wo)^2*(Ma-1)*IF(answer,MC,1)/SQRT((1-B106^2/wp^2)^2+(B106/wo)^2*(1-B106^2/wo^2)^2*((Ma-1)*Q.e*0.2)^2)</f>
        <v/>
      </c>
      <c r="H106">
        <f>M_min</f>
        <v/>
      </c>
      <c r="I106">
        <f>Max_Gain_required</f>
        <v/>
      </c>
    </row>
    <row r="107">
      <c r="A107" s="61">
        <f>A106*10^0.008</f>
        <v/>
      </c>
      <c r="B107" s="62">
        <f>2000*3.14*A107</f>
        <v/>
      </c>
      <c r="C107" s="63">
        <f>(B107/wo)^2*(Ma-1)*IF(answer,MC,1)/SQRT((1-B107^2/wp^2)^2+(B107/wo)^2*(1-B107^2/wo^2)^2*((Ma-1)*Q.e)^2)</f>
        <v/>
      </c>
      <c r="D107" s="63">
        <f>(B107/wo)^2*(Ma-1)*IF(answer,MC,1)/SQRT((1-B107^2/wp^2)^2+(B107/wo)^2*(1-B107^2/wo^2)^2*((Ma-1)*Q.e*0.8)^2)</f>
        <v/>
      </c>
      <c r="E107" s="63">
        <f>(B107/wo)^2*(Ma-1)*IF(answer,MC,1)/SQRT((1-B107^2/wp^2)^2+(B107/wo)^2*(1-B107^2/wo^2)^2*((Ma-1)*Q.e*0.6)^2)</f>
        <v/>
      </c>
      <c r="F107" s="63">
        <f>(B107/wo)^2*(Ma-1)*IF(answer,MC,1)/SQRT((1-B107^2/wp^2)^2+(B107/wo)^2*(1-B107^2/wo^2)^2*((Ma-1)*Q.e*0.4)^2)</f>
        <v/>
      </c>
      <c r="G107" s="63">
        <f>(B107/wo)^2*(Ma-1)*IF(answer,MC,1)/SQRT((1-B107^2/wp^2)^2+(B107/wo)^2*(1-B107^2/wo^2)^2*((Ma-1)*Q.e*0.2)^2)</f>
        <v/>
      </c>
      <c r="H107">
        <f>M_min</f>
        <v/>
      </c>
      <c r="I107">
        <f>Max_Gain_required</f>
        <v/>
      </c>
    </row>
    <row r="108">
      <c r="A108" s="61">
        <f>A107*10^0.008</f>
        <v/>
      </c>
      <c r="B108" s="62">
        <f>2000*3.14*A108</f>
        <v/>
      </c>
      <c r="C108" s="63">
        <f>(B108/wo)^2*(Ma-1)*IF(answer,MC,1)/SQRT((1-B108^2/wp^2)^2+(B108/wo)^2*(1-B108^2/wo^2)^2*((Ma-1)*Q.e)^2)</f>
        <v/>
      </c>
      <c r="D108" s="63">
        <f>(B108/wo)^2*(Ma-1)*IF(answer,MC,1)/SQRT((1-B108^2/wp^2)^2+(B108/wo)^2*(1-B108^2/wo^2)^2*((Ma-1)*Q.e*0.8)^2)</f>
        <v/>
      </c>
      <c r="E108" s="63">
        <f>(B108/wo)^2*(Ma-1)*IF(answer,MC,1)/SQRT((1-B108^2/wp^2)^2+(B108/wo)^2*(1-B108^2/wo^2)^2*((Ma-1)*Q.e*0.6)^2)</f>
        <v/>
      </c>
      <c r="F108" s="63">
        <f>(B108/wo)^2*(Ma-1)*IF(answer,MC,1)/SQRT((1-B108^2/wp^2)^2+(B108/wo)^2*(1-B108^2/wo^2)^2*((Ma-1)*Q.e*0.4)^2)</f>
        <v/>
      </c>
      <c r="G108" s="63">
        <f>(B108/wo)^2*(Ma-1)*IF(answer,MC,1)/SQRT((1-B108^2/wp^2)^2+(B108/wo)^2*(1-B108^2/wo^2)^2*((Ma-1)*Q.e*0.2)^2)</f>
        <v/>
      </c>
      <c r="H108">
        <f>M_min</f>
        <v/>
      </c>
      <c r="I108">
        <f>Max_Gain_required</f>
        <v/>
      </c>
    </row>
    <row r="109">
      <c r="A109" s="61">
        <f>A108*10^0.008</f>
        <v/>
      </c>
      <c r="B109" s="62">
        <f>2000*3.14*A109</f>
        <v/>
      </c>
      <c r="C109" s="63">
        <f>(B109/wo)^2*(Ma-1)*IF(answer,MC,1)/SQRT((1-B109^2/wp^2)^2+(B109/wo)^2*(1-B109^2/wo^2)^2*((Ma-1)*Q.e)^2)</f>
        <v/>
      </c>
      <c r="D109" s="63">
        <f>(B109/wo)^2*(Ma-1)*IF(answer,MC,1)/SQRT((1-B109^2/wp^2)^2+(B109/wo)^2*(1-B109^2/wo^2)^2*((Ma-1)*Q.e*0.8)^2)</f>
        <v/>
      </c>
      <c r="E109" s="63">
        <f>(B109/wo)^2*(Ma-1)*IF(answer,MC,1)/SQRT((1-B109^2/wp^2)^2+(B109/wo)^2*(1-B109^2/wo^2)^2*((Ma-1)*Q.e*0.6)^2)</f>
        <v/>
      </c>
      <c r="F109" s="63">
        <f>(B109/wo)^2*(Ma-1)*IF(answer,MC,1)/SQRT((1-B109^2/wp^2)^2+(B109/wo)^2*(1-B109^2/wo^2)^2*((Ma-1)*Q.e*0.4)^2)</f>
        <v/>
      </c>
      <c r="G109" s="63">
        <f>(B109/wo)^2*(Ma-1)*IF(answer,MC,1)/SQRT((1-B109^2/wp^2)^2+(B109/wo)^2*(1-B109^2/wo^2)^2*((Ma-1)*Q.e*0.2)^2)</f>
        <v/>
      </c>
      <c r="H109">
        <f>M_min</f>
        <v/>
      </c>
      <c r="I109">
        <f>Max_Gain_required</f>
        <v/>
      </c>
    </row>
    <row r="110">
      <c r="A110" s="61">
        <f>A109*10^0.008</f>
        <v/>
      </c>
      <c r="B110" s="62">
        <f>2000*3.14*A110</f>
        <v/>
      </c>
      <c r="C110" s="63">
        <f>(B110/wo)^2*(Ma-1)*IF(answer,MC,1)/SQRT((1-B110^2/wp^2)^2+(B110/wo)^2*(1-B110^2/wo^2)^2*((Ma-1)*Q.e)^2)</f>
        <v/>
      </c>
      <c r="D110" s="63">
        <f>(B110/wo)^2*(Ma-1)*IF(answer,MC,1)/SQRT((1-B110^2/wp^2)^2+(B110/wo)^2*(1-B110^2/wo^2)^2*((Ma-1)*Q.e*0.8)^2)</f>
        <v/>
      </c>
      <c r="E110" s="63">
        <f>(B110/wo)^2*(Ma-1)*IF(answer,MC,1)/SQRT((1-B110^2/wp^2)^2+(B110/wo)^2*(1-B110^2/wo^2)^2*((Ma-1)*Q.e*0.6)^2)</f>
        <v/>
      </c>
      <c r="F110" s="63">
        <f>(B110/wo)^2*(Ma-1)*IF(answer,MC,1)/SQRT((1-B110^2/wp^2)^2+(B110/wo)^2*(1-B110^2/wo^2)^2*((Ma-1)*Q.e*0.4)^2)</f>
        <v/>
      </c>
      <c r="G110" s="63">
        <f>(B110/wo)^2*(Ma-1)*IF(answer,MC,1)/SQRT((1-B110^2/wp^2)^2+(B110/wo)^2*(1-B110^2/wo^2)^2*((Ma-1)*Q.e*0.2)^2)</f>
        <v/>
      </c>
      <c r="H110">
        <f>M_min</f>
        <v/>
      </c>
      <c r="I110">
        <f>Max_Gain_required</f>
        <v/>
      </c>
    </row>
    <row r="111">
      <c r="A111" s="61">
        <f>A110*10^0.008</f>
        <v/>
      </c>
      <c r="B111" s="62">
        <f>2000*3.14*A111</f>
        <v/>
      </c>
      <c r="C111" s="63">
        <f>(B111/wo)^2*(Ma-1)*IF(answer,MC,1)/SQRT((1-B111^2/wp^2)^2+(B111/wo)^2*(1-B111^2/wo^2)^2*((Ma-1)*Q.e)^2)</f>
        <v/>
      </c>
      <c r="D111" s="63">
        <f>(B111/wo)^2*(Ma-1)*IF(answer,MC,1)/SQRT((1-B111^2/wp^2)^2+(B111/wo)^2*(1-B111^2/wo^2)^2*((Ma-1)*Q.e*0.8)^2)</f>
        <v/>
      </c>
      <c r="E111" s="63">
        <f>(B111/wo)^2*(Ma-1)*IF(answer,MC,1)/SQRT((1-B111^2/wp^2)^2+(B111/wo)^2*(1-B111^2/wo^2)^2*((Ma-1)*Q.e*0.6)^2)</f>
        <v/>
      </c>
      <c r="F111" s="63">
        <f>(B111/wo)^2*(Ma-1)*IF(answer,MC,1)/SQRT((1-B111^2/wp^2)^2+(B111/wo)^2*(1-B111^2/wo^2)^2*((Ma-1)*Q.e*0.4)^2)</f>
        <v/>
      </c>
      <c r="G111" s="63">
        <f>(B111/wo)^2*(Ma-1)*IF(answer,MC,1)/SQRT((1-B111^2/wp^2)^2+(B111/wo)^2*(1-B111^2/wo^2)^2*((Ma-1)*Q.e*0.2)^2)</f>
        <v/>
      </c>
      <c r="H111">
        <f>M_min</f>
        <v/>
      </c>
      <c r="I111">
        <f>Max_Gain_required</f>
        <v/>
      </c>
    </row>
    <row r="112">
      <c r="A112" s="61">
        <f>A111*10^0.008</f>
        <v/>
      </c>
      <c r="B112" s="62">
        <f>2000*3.14*A112</f>
        <v/>
      </c>
      <c r="C112" s="63">
        <f>(B112/wo)^2*(Ma-1)*IF(answer,MC,1)/SQRT((1-B112^2/wp^2)^2+(B112/wo)^2*(1-B112^2/wo^2)^2*((Ma-1)*Q.e)^2)</f>
        <v/>
      </c>
      <c r="D112" s="63">
        <f>(B112/wo)^2*(Ma-1)*IF(answer,MC,1)/SQRT((1-B112^2/wp^2)^2+(B112/wo)^2*(1-B112^2/wo^2)^2*((Ma-1)*Q.e*0.8)^2)</f>
        <v/>
      </c>
      <c r="E112" s="63">
        <f>(B112/wo)^2*(Ma-1)*IF(answer,MC,1)/SQRT((1-B112^2/wp^2)^2+(B112/wo)^2*(1-B112^2/wo^2)^2*((Ma-1)*Q.e*0.6)^2)</f>
        <v/>
      </c>
      <c r="F112" s="63">
        <f>(B112/wo)^2*(Ma-1)*IF(answer,MC,1)/SQRT((1-B112^2/wp^2)^2+(B112/wo)^2*(1-B112^2/wo^2)^2*((Ma-1)*Q.e*0.4)^2)</f>
        <v/>
      </c>
      <c r="G112" s="63">
        <f>(B112/wo)^2*(Ma-1)*IF(answer,MC,1)/SQRT((1-B112^2/wp^2)^2+(B112/wo)^2*(1-B112^2/wo^2)^2*((Ma-1)*Q.e*0.2)^2)</f>
        <v/>
      </c>
      <c r="H112">
        <f>M_min</f>
        <v/>
      </c>
      <c r="I112">
        <f>Max_Gain_required</f>
        <v/>
      </c>
    </row>
    <row r="113">
      <c r="A113" s="61">
        <f>A112*10^0.008</f>
        <v/>
      </c>
      <c r="B113" s="62">
        <f>2000*3.14*A113</f>
        <v/>
      </c>
      <c r="C113" s="63">
        <f>(B113/wo)^2*(Ma-1)*IF(answer,MC,1)/SQRT((1-B113^2/wp^2)^2+(B113/wo)^2*(1-B113^2/wo^2)^2*((Ma-1)*Q.e)^2)</f>
        <v/>
      </c>
      <c r="D113" s="63">
        <f>(B113/wo)^2*(Ma-1)*IF(answer,MC,1)/SQRT((1-B113^2/wp^2)^2+(B113/wo)^2*(1-B113^2/wo^2)^2*((Ma-1)*Q.e*0.8)^2)</f>
        <v/>
      </c>
      <c r="E113" s="63">
        <f>(B113/wo)^2*(Ma-1)*IF(answer,MC,1)/SQRT((1-B113^2/wp^2)^2+(B113/wo)^2*(1-B113^2/wo^2)^2*((Ma-1)*Q.e*0.6)^2)</f>
        <v/>
      </c>
      <c r="F113" s="63">
        <f>(B113/wo)^2*(Ma-1)*IF(answer,MC,1)/SQRT((1-B113^2/wp^2)^2+(B113/wo)^2*(1-B113^2/wo^2)^2*((Ma-1)*Q.e*0.4)^2)</f>
        <v/>
      </c>
      <c r="G113" s="63">
        <f>(B113/wo)^2*(Ma-1)*IF(answer,MC,1)/SQRT((1-B113^2/wp^2)^2+(B113/wo)^2*(1-B113^2/wo^2)^2*((Ma-1)*Q.e*0.2)^2)</f>
        <v/>
      </c>
      <c r="H113">
        <f>M_min</f>
        <v/>
      </c>
      <c r="I113">
        <f>Max_Gain_required</f>
        <v/>
      </c>
    </row>
    <row r="114">
      <c r="A114" s="61">
        <f>A113*10^0.008</f>
        <v/>
      </c>
      <c r="B114" s="62">
        <f>2000*3.14*A114</f>
        <v/>
      </c>
      <c r="C114" s="63">
        <f>(B114/wo)^2*(Ma-1)*IF(answer,MC,1)/SQRT((1-B114^2/wp^2)^2+(B114/wo)^2*(1-B114^2/wo^2)^2*((Ma-1)*Q.e)^2)</f>
        <v/>
      </c>
      <c r="D114" s="63">
        <f>(B114/wo)^2*(Ma-1)*IF(answer,MC,1)/SQRT((1-B114^2/wp^2)^2+(B114/wo)^2*(1-B114^2/wo^2)^2*((Ma-1)*Q.e*0.8)^2)</f>
        <v/>
      </c>
      <c r="E114" s="63">
        <f>(B114/wo)^2*(Ma-1)*IF(answer,MC,1)/SQRT((1-B114^2/wp^2)^2+(B114/wo)^2*(1-B114^2/wo^2)^2*((Ma-1)*Q.e*0.6)^2)</f>
        <v/>
      </c>
      <c r="F114" s="63">
        <f>(B114/wo)^2*(Ma-1)*IF(answer,MC,1)/SQRT((1-B114^2/wp^2)^2+(B114/wo)^2*(1-B114^2/wo^2)^2*((Ma-1)*Q.e*0.4)^2)</f>
        <v/>
      </c>
      <c r="G114" s="63">
        <f>(B114/wo)^2*(Ma-1)*IF(answer,MC,1)/SQRT((1-B114^2/wp^2)^2+(B114/wo)^2*(1-B114^2/wo^2)^2*((Ma-1)*Q.e*0.2)^2)</f>
        <v/>
      </c>
      <c r="H114">
        <f>M_min</f>
        <v/>
      </c>
      <c r="I114">
        <f>Max_Gain_required</f>
        <v/>
      </c>
    </row>
    <row r="115">
      <c r="A115" s="61">
        <f>A114*10^0.008</f>
        <v/>
      </c>
      <c r="B115" s="62">
        <f>2000*3.14*A115</f>
        <v/>
      </c>
      <c r="C115" s="63">
        <f>(B115/wo)^2*(Ma-1)*IF(answer,MC,1)/SQRT((1-B115^2/wp^2)^2+(B115/wo)^2*(1-B115^2/wo^2)^2*((Ma-1)*Q.e)^2)</f>
        <v/>
      </c>
      <c r="D115" s="63">
        <f>(B115/wo)^2*(Ma-1)*IF(answer,MC,1)/SQRT((1-B115^2/wp^2)^2+(B115/wo)^2*(1-B115^2/wo^2)^2*((Ma-1)*Q.e*0.8)^2)</f>
        <v/>
      </c>
      <c r="E115" s="63">
        <f>(B115/wo)^2*(Ma-1)*IF(answer,MC,1)/SQRT((1-B115^2/wp^2)^2+(B115/wo)^2*(1-B115^2/wo^2)^2*((Ma-1)*Q.e*0.6)^2)</f>
        <v/>
      </c>
      <c r="F115" s="63">
        <f>(B115/wo)^2*(Ma-1)*IF(answer,MC,1)/SQRT((1-B115^2/wp^2)^2+(B115/wo)^2*(1-B115^2/wo^2)^2*((Ma-1)*Q.e*0.4)^2)</f>
        <v/>
      </c>
      <c r="G115" s="63">
        <f>(B115/wo)^2*(Ma-1)*IF(answer,MC,1)/SQRT((1-B115^2/wp^2)^2+(B115/wo)^2*(1-B115^2/wo^2)^2*((Ma-1)*Q.e*0.2)^2)</f>
        <v/>
      </c>
      <c r="H115">
        <f>M_min</f>
        <v/>
      </c>
      <c r="I115">
        <f>Max_Gain_required</f>
        <v/>
      </c>
    </row>
    <row r="116">
      <c r="A116" s="61">
        <f>A115*10^0.008</f>
        <v/>
      </c>
      <c r="B116" s="62">
        <f>2000*3.14*A116</f>
        <v/>
      </c>
      <c r="C116" s="63">
        <f>(B116/wo)^2*(Ma-1)*IF(answer,MC,1)/SQRT((1-B116^2/wp^2)^2+(B116/wo)^2*(1-B116^2/wo^2)^2*((Ma-1)*Q.e)^2)</f>
        <v/>
      </c>
      <c r="D116" s="63">
        <f>(B116/wo)^2*(Ma-1)*IF(answer,MC,1)/SQRT((1-B116^2/wp^2)^2+(B116/wo)^2*(1-B116^2/wo^2)^2*((Ma-1)*Q.e*0.8)^2)</f>
        <v/>
      </c>
      <c r="E116" s="63">
        <f>(B116/wo)^2*(Ma-1)*IF(answer,MC,1)/SQRT((1-B116^2/wp^2)^2+(B116/wo)^2*(1-B116^2/wo^2)^2*((Ma-1)*Q.e*0.6)^2)</f>
        <v/>
      </c>
      <c r="F116" s="63">
        <f>(B116/wo)^2*(Ma-1)*IF(answer,MC,1)/SQRT((1-B116^2/wp^2)^2+(B116/wo)^2*(1-B116^2/wo^2)^2*((Ma-1)*Q.e*0.4)^2)</f>
        <v/>
      </c>
      <c r="G116" s="63">
        <f>(B116/wo)^2*(Ma-1)*IF(answer,MC,1)/SQRT((1-B116^2/wp^2)^2+(B116/wo)^2*(1-B116^2/wo^2)^2*((Ma-1)*Q.e*0.2)^2)</f>
        <v/>
      </c>
      <c r="H116">
        <f>M_min</f>
        <v/>
      </c>
      <c r="I116">
        <f>Max_Gain_required</f>
        <v/>
      </c>
    </row>
    <row r="117">
      <c r="A117" s="61">
        <f>A116*10^0.008</f>
        <v/>
      </c>
      <c r="B117" s="62">
        <f>2000*3.14*A117</f>
        <v/>
      </c>
      <c r="C117" s="63">
        <f>(B117/wo)^2*(Ma-1)*IF(answer,MC,1)/SQRT((1-B117^2/wp^2)^2+(B117/wo)^2*(1-B117^2/wo^2)^2*((Ma-1)*Q.e)^2)</f>
        <v/>
      </c>
      <c r="D117" s="63">
        <f>(B117/wo)^2*(Ma-1)*IF(answer,MC,1)/SQRT((1-B117^2/wp^2)^2+(B117/wo)^2*(1-B117^2/wo^2)^2*((Ma-1)*Q.e*0.8)^2)</f>
        <v/>
      </c>
      <c r="E117" s="63">
        <f>(B117/wo)^2*(Ma-1)*IF(answer,MC,1)/SQRT((1-B117^2/wp^2)^2+(B117/wo)^2*(1-B117^2/wo^2)^2*((Ma-1)*Q.e*0.6)^2)</f>
        <v/>
      </c>
      <c r="F117" s="63">
        <f>(B117/wo)^2*(Ma-1)*IF(answer,MC,1)/SQRT((1-B117^2/wp^2)^2+(B117/wo)^2*(1-B117^2/wo^2)^2*((Ma-1)*Q.e*0.4)^2)</f>
        <v/>
      </c>
      <c r="G117" s="63">
        <f>(B117/wo)^2*(Ma-1)*IF(answer,MC,1)/SQRT((1-B117^2/wp^2)^2+(B117/wo)^2*(1-B117^2/wo^2)^2*((Ma-1)*Q.e*0.2)^2)</f>
        <v/>
      </c>
      <c r="H117">
        <f>M_min</f>
        <v/>
      </c>
      <c r="I117">
        <f>Max_Gain_required</f>
        <v/>
      </c>
    </row>
    <row r="118">
      <c r="A118" s="61">
        <f>A117*10^0.008</f>
        <v/>
      </c>
      <c r="B118" s="62">
        <f>2000*3.14*A118</f>
        <v/>
      </c>
      <c r="C118" s="63">
        <f>(B118/wo)^2*(Ma-1)*IF(answer,MC,1)/SQRT((1-B118^2/wp^2)^2+(B118/wo)^2*(1-B118^2/wo^2)^2*((Ma-1)*Q.e)^2)</f>
        <v/>
      </c>
      <c r="D118" s="63">
        <f>(B118/wo)^2*(Ma-1)*IF(answer,MC,1)/SQRT((1-B118^2/wp^2)^2+(B118/wo)^2*(1-B118^2/wo^2)^2*((Ma-1)*Q.e*0.8)^2)</f>
        <v/>
      </c>
      <c r="E118" s="63">
        <f>(B118/wo)^2*(Ma-1)*IF(answer,MC,1)/SQRT((1-B118^2/wp^2)^2+(B118/wo)^2*(1-B118^2/wo^2)^2*((Ma-1)*Q.e*0.6)^2)</f>
        <v/>
      </c>
      <c r="F118" s="63">
        <f>(B118/wo)^2*(Ma-1)*IF(answer,MC,1)/SQRT((1-B118^2/wp^2)^2+(B118/wo)^2*(1-B118^2/wo^2)^2*((Ma-1)*Q.e*0.4)^2)</f>
        <v/>
      </c>
      <c r="G118" s="63">
        <f>(B118/wo)^2*(Ma-1)*IF(answer,MC,1)/SQRT((1-B118^2/wp^2)^2+(B118/wo)^2*(1-B118^2/wo^2)^2*((Ma-1)*Q.e*0.2)^2)</f>
        <v/>
      </c>
      <c r="H118">
        <f>M_min</f>
        <v/>
      </c>
      <c r="I118">
        <f>Max_Gain_required</f>
        <v/>
      </c>
    </row>
    <row r="119">
      <c r="A119" s="61">
        <f>A118*10^0.008</f>
        <v/>
      </c>
      <c r="B119" s="62">
        <f>2000*3.14*A119</f>
        <v/>
      </c>
      <c r="C119" s="63">
        <f>(B119/wo)^2*(Ma-1)*IF(answer,MC,1)/SQRT((1-B119^2/wp^2)^2+(B119/wo)^2*(1-B119^2/wo^2)^2*((Ma-1)*Q.e)^2)</f>
        <v/>
      </c>
      <c r="D119" s="63">
        <f>(B119/wo)^2*(Ma-1)*IF(answer,MC,1)/SQRT((1-B119^2/wp^2)^2+(B119/wo)^2*(1-B119^2/wo^2)^2*((Ma-1)*Q.e*0.8)^2)</f>
        <v/>
      </c>
      <c r="E119" s="63">
        <f>(B119/wo)^2*(Ma-1)*IF(answer,MC,1)/SQRT((1-B119^2/wp^2)^2+(B119/wo)^2*(1-B119^2/wo^2)^2*((Ma-1)*Q.e*0.6)^2)</f>
        <v/>
      </c>
      <c r="F119" s="63">
        <f>(B119/wo)^2*(Ma-1)*IF(answer,MC,1)/SQRT((1-B119^2/wp^2)^2+(B119/wo)^2*(1-B119^2/wo^2)^2*((Ma-1)*Q.e*0.4)^2)</f>
        <v/>
      </c>
      <c r="G119" s="63">
        <f>(B119/wo)^2*(Ma-1)*IF(answer,MC,1)/SQRT((1-B119^2/wp^2)^2+(B119/wo)^2*(1-B119^2/wo^2)^2*((Ma-1)*Q.e*0.2)^2)</f>
        <v/>
      </c>
      <c r="H119">
        <f>M_min</f>
        <v/>
      </c>
      <c r="I119">
        <f>Max_Gain_required</f>
        <v/>
      </c>
    </row>
    <row r="120">
      <c r="A120" s="61">
        <f>A119*10^0.008</f>
        <v/>
      </c>
      <c r="B120" s="62">
        <f>2000*3.14*A120</f>
        <v/>
      </c>
      <c r="C120" s="63">
        <f>(B120/wo)^2*(Ma-1)*IF(answer,MC,1)/SQRT((1-B120^2/wp^2)^2+(B120/wo)^2*(1-B120^2/wo^2)^2*((Ma-1)*Q.e)^2)</f>
        <v/>
      </c>
      <c r="D120" s="63">
        <f>(B120/wo)^2*(Ma-1)*IF(answer,MC,1)/SQRT((1-B120^2/wp^2)^2+(B120/wo)^2*(1-B120^2/wo^2)^2*((Ma-1)*Q.e*0.8)^2)</f>
        <v/>
      </c>
      <c r="E120" s="63">
        <f>(B120/wo)^2*(Ma-1)*IF(answer,MC,1)/SQRT((1-B120^2/wp^2)^2+(B120/wo)^2*(1-B120^2/wo^2)^2*((Ma-1)*Q.e*0.6)^2)</f>
        <v/>
      </c>
      <c r="F120" s="63">
        <f>(B120/wo)^2*(Ma-1)*IF(answer,MC,1)/SQRT((1-B120^2/wp^2)^2+(B120/wo)^2*(1-B120^2/wo^2)^2*((Ma-1)*Q.e*0.4)^2)</f>
        <v/>
      </c>
      <c r="G120" s="63">
        <f>(B120/wo)^2*(Ma-1)*IF(answer,MC,1)/SQRT((1-B120^2/wp^2)^2+(B120/wo)^2*(1-B120^2/wo^2)^2*((Ma-1)*Q.e*0.2)^2)</f>
        <v/>
      </c>
      <c r="H120">
        <f>M_min</f>
        <v/>
      </c>
      <c r="I120">
        <f>Max_Gain_required</f>
        <v/>
      </c>
    </row>
    <row r="121">
      <c r="A121" s="61">
        <f>A120*10^0.008</f>
        <v/>
      </c>
      <c r="B121" s="62">
        <f>2000*3.14*A121</f>
        <v/>
      </c>
      <c r="C121" s="63">
        <f>(B121/wo)^2*(Ma-1)*IF(answer,MC,1)/SQRT((1-B121^2/wp^2)^2+(B121/wo)^2*(1-B121^2/wo^2)^2*((Ma-1)*Q.e)^2)</f>
        <v/>
      </c>
      <c r="D121" s="63">
        <f>(B121/wo)^2*(Ma-1)*IF(answer,MC,1)/SQRT((1-B121^2/wp^2)^2+(B121/wo)^2*(1-B121^2/wo^2)^2*((Ma-1)*Q.e*0.8)^2)</f>
        <v/>
      </c>
      <c r="E121" s="63">
        <f>(B121/wo)^2*(Ma-1)*IF(answer,MC,1)/SQRT((1-B121^2/wp^2)^2+(B121/wo)^2*(1-B121^2/wo^2)^2*((Ma-1)*Q.e*0.6)^2)</f>
        <v/>
      </c>
      <c r="F121" s="63">
        <f>(B121/wo)^2*(Ma-1)*IF(answer,MC,1)/SQRT((1-B121^2/wp^2)^2+(B121/wo)^2*(1-B121^2/wo^2)^2*((Ma-1)*Q.e*0.4)^2)</f>
        <v/>
      </c>
      <c r="G121" s="63">
        <f>(B121/wo)^2*(Ma-1)*IF(answer,MC,1)/SQRT((1-B121^2/wp^2)^2+(B121/wo)^2*(1-B121^2/wo^2)^2*((Ma-1)*Q.e*0.2)^2)</f>
        <v/>
      </c>
      <c r="H121">
        <f>M_min</f>
        <v/>
      </c>
      <c r="I121">
        <f>Max_Gain_required</f>
        <v/>
      </c>
    </row>
    <row r="122">
      <c r="A122" s="61">
        <f>A121*10^0.008</f>
        <v/>
      </c>
      <c r="B122" s="62">
        <f>2000*3.14*A122</f>
        <v/>
      </c>
      <c r="C122" s="63">
        <f>(B122/wo)^2*(Ma-1)*IF(answer,MC,1)/SQRT((1-B122^2/wp^2)^2+(B122/wo)^2*(1-B122^2/wo^2)^2*((Ma-1)*Q.e)^2)</f>
        <v/>
      </c>
      <c r="D122" s="63">
        <f>(B122/wo)^2*(Ma-1)*IF(answer,MC,1)/SQRT((1-B122^2/wp^2)^2+(B122/wo)^2*(1-B122^2/wo^2)^2*((Ma-1)*Q.e*0.8)^2)</f>
        <v/>
      </c>
      <c r="E122" s="63">
        <f>(B122/wo)^2*(Ma-1)*IF(answer,MC,1)/SQRT((1-B122^2/wp^2)^2+(B122/wo)^2*(1-B122^2/wo^2)^2*((Ma-1)*Q.e*0.6)^2)</f>
        <v/>
      </c>
      <c r="F122" s="63">
        <f>(B122/wo)^2*(Ma-1)*IF(answer,MC,1)/SQRT((1-B122^2/wp^2)^2+(B122/wo)^2*(1-B122^2/wo^2)^2*((Ma-1)*Q.e*0.4)^2)</f>
        <v/>
      </c>
      <c r="G122" s="63">
        <f>(B122/wo)^2*(Ma-1)*IF(answer,MC,1)/SQRT((1-B122^2/wp^2)^2+(B122/wo)^2*(1-B122^2/wo^2)^2*((Ma-1)*Q.e*0.2)^2)</f>
        <v/>
      </c>
      <c r="H122">
        <f>M_min</f>
        <v/>
      </c>
      <c r="I122">
        <f>Max_Gain_required</f>
        <v/>
      </c>
    </row>
    <row r="123">
      <c r="A123" s="61">
        <f>A122*10^0.008</f>
        <v/>
      </c>
      <c r="B123" s="62">
        <f>2000*3.14*A123</f>
        <v/>
      </c>
      <c r="C123" s="63">
        <f>(B123/wo)^2*(Ma-1)*IF(answer,MC,1)/SQRT((1-B123^2/wp^2)^2+(B123/wo)^2*(1-B123^2/wo^2)^2*((Ma-1)*Q.e)^2)</f>
        <v/>
      </c>
      <c r="D123" s="63">
        <f>(B123/wo)^2*(Ma-1)*IF(answer,MC,1)/SQRT((1-B123^2/wp^2)^2+(B123/wo)^2*(1-B123^2/wo^2)^2*((Ma-1)*Q.e*0.8)^2)</f>
        <v/>
      </c>
      <c r="E123" s="63">
        <f>(B123/wo)^2*(Ma-1)*IF(answer,MC,1)/SQRT((1-B123^2/wp^2)^2+(B123/wo)^2*(1-B123^2/wo^2)^2*((Ma-1)*Q.e*0.6)^2)</f>
        <v/>
      </c>
      <c r="F123" s="63">
        <f>(B123/wo)^2*(Ma-1)*IF(answer,MC,1)/SQRT((1-B123^2/wp^2)^2+(B123/wo)^2*(1-B123^2/wo^2)^2*((Ma-1)*Q.e*0.4)^2)</f>
        <v/>
      </c>
      <c r="G123" s="63">
        <f>(B123/wo)^2*(Ma-1)*IF(answer,MC,1)/SQRT((1-B123^2/wp^2)^2+(B123/wo)^2*(1-B123^2/wo^2)^2*((Ma-1)*Q.e*0.2)^2)</f>
        <v/>
      </c>
      <c r="H123">
        <f>M_min</f>
        <v/>
      </c>
      <c r="I123">
        <f>Max_Gain_required</f>
        <v/>
      </c>
    </row>
    <row r="124">
      <c r="A124" s="61">
        <f>A123*10^0.008</f>
        <v/>
      </c>
      <c r="B124" s="62">
        <f>2000*3.14*A124</f>
        <v/>
      </c>
      <c r="C124" s="63">
        <f>(B124/wo)^2*(Ma-1)*IF(answer,MC,1)/SQRT((1-B124^2/wp^2)^2+(B124/wo)^2*(1-B124^2/wo^2)^2*((Ma-1)*Q.e)^2)</f>
        <v/>
      </c>
      <c r="D124" s="63">
        <f>(B124/wo)^2*(Ma-1)*IF(answer,MC,1)/SQRT((1-B124^2/wp^2)^2+(B124/wo)^2*(1-B124^2/wo^2)^2*((Ma-1)*Q.e*0.8)^2)</f>
        <v/>
      </c>
      <c r="E124" s="63">
        <f>(B124/wo)^2*(Ma-1)*IF(answer,MC,1)/SQRT((1-B124^2/wp^2)^2+(B124/wo)^2*(1-B124^2/wo^2)^2*((Ma-1)*Q.e*0.6)^2)</f>
        <v/>
      </c>
      <c r="F124" s="63">
        <f>(B124/wo)^2*(Ma-1)*IF(answer,MC,1)/SQRT((1-B124^2/wp^2)^2+(B124/wo)^2*(1-B124^2/wo^2)^2*((Ma-1)*Q.e*0.4)^2)</f>
        <v/>
      </c>
      <c r="G124" s="63">
        <f>(B124/wo)^2*(Ma-1)*IF(answer,MC,1)/SQRT((1-B124^2/wp^2)^2+(B124/wo)^2*(1-B124^2/wo^2)^2*((Ma-1)*Q.e*0.2)^2)</f>
        <v/>
      </c>
      <c r="H124">
        <f>M_min</f>
        <v/>
      </c>
      <c r="I124">
        <f>Max_Gain_required</f>
        <v/>
      </c>
    </row>
    <row r="125">
      <c r="A125" s="61">
        <f>A124*10^0.008</f>
        <v/>
      </c>
      <c r="B125" s="62">
        <f>2000*3.14*A125</f>
        <v/>
      </c>
      <c r="C125" s="63">
        <f>(B125/wo)^2*(Ma-1)*IF(answer,MC,1)/SQRT((1-B125^2/wp^2)^2+(B125/wo)^2*(1-B125^2/wo^2)^2*((Ma-1)*Q.e)^2)</f>
        <v/>
      </c>
      <c r="D125" s="63">
        <f>(B125/wo)^2*(Ma-1)*IF(answer,MC,1)/SQRT((1-B125^2/wp^2)^2+(B125/wo)^2*(1-B125^2/wo^2)^2*((Ma-1)*Q.e*0.8)^2)</f>
        <v/>
      </c>
      <c r="E125" s="63">
        <f>(B125/wo)^2*(Ma-1)*IF(answer,MC,1)/SQRT((1-B125^2/wp^2)^2+(B125/wo)^2*(1-B125^2/wo^2)^2*((Ma-1)*Q.e*0.6)^2)</f>
        <v/>
      </c>
      <c r="F125" s="63">
        <f>(B125/wo)^2*(Ma-1)*IF(answer,MC,1)/SQRT((1-B125^2/wp^2)^2+(B125/wo)^2*(1-B125^2/wo^2)^2*((Ma-1)*Q.e*0.4)^2)</f>
        <v/>
      </c>
      <c r="G125" s="63">
        <f>(B125/wo)^2*(Ma-1)*IF(answer,MC,1)/SQRT((1-B125^2/wp^2)^2+(B125/wo)^2*(1-B125^2/wo^2)^2*((Ma-1)*Q.e*0.2)^2)</f>
        <v/>
      </c>
      <c r="H125">
        <f>M_min</f>
        <v/>
      </c>
      <c r="I125">
        <f>Max_Gain_required</f>
        <v/>
      </c>
    </row>
  </sheetData>
  <mergeCells count="1">
    <mergeCell ref="O15:P1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M29" sqref="M29"/>
    </sheetView>
  </sheetViews>
  <sheetFormatPr baseColWidth="8" defaultRowHeight="15"/>
  <cols>
    <col width="16.7109375" customWidth="1" min="1" max="1"/>
  </cols>
  <sheetData>
    <row r="1">
      <c r="A1" s="73" t="inlineStr">
        <is>
          <t>Approximation of ICS attenuation</t>
        </is>
      </c>
    </row>
    <row r="2">
      <c r="B2" t="inlineStr">
        <is>
          <t>coeffication</t>
        </is>
      </c>
      <c r="C2" t="n">
        <v>0.6104000000000001</v>
      </c>
      <c r="D2" t="n">
        <v>-0.8971</v>
      </c>
      <c r="E2" t="n">
        <v>-0.1223</v>
      </c>
      <c r="F2" t="n">
        <v>-0.0147</v>
      </c>
      <c r="G2" t="n">
        <v>1</v>
      </c>
    </row>
    <row r="3">
      <c r="A3" t="inlineStr">
        <is>
          <t>V.ICS.IDEAL.PK</t>
        </is>
      </c>
      <c r="B3" t="inlineStr">
        <is>
          <t>K.ATTN</t>
        </is>
      </c>
      <c r="C3" t="inlineStr">
        <is>
          <t>K.ATTN.calculate</t>
        </is>
      </c>
    </row>
    <row r="4">
      <c r="A4" t="n">
        <v>0</v>
      </c>
      <c r="B4" t="n">
        <v>1</v>
      </c>
      <c r="C4">
        <f>coef4*A4^4+coef3*A4^3+coef2*A4^2+coef1*A4+coef0</f>
        <v/>
      </c>
    </row>
    <row r="5">
      <c r="A5" t="n">
        <v>0.1</v>
      </c>
      <c r="B5" t="n">
        <v>0.997</v>
      </c>
      <c r="C5">
        <f>coef4*A5^4+coef3*A5^3+coef2*A5^2+coef1*A5+coef0</f>
        <v/>
      </c>
    </row>
    <row r="6">
      <c r="A6" t="n">
        <v>0.2</v>
      </c>
      <c r="B6" t="n">
        <v>0.985</v>
      </c>
      <c r="C6">
        <f>coef4*A6^4+coef3*A6^3+coef2*A6^2+coef1*A6+coef0</f>
        <v/>
      </c>
    </row>
    <row r="7">
      <c r="A7" t="n">
        <v>0.3</v>
      </c>
      <c r="B7" t="n">
        <v>0.965</v>
      </c>
      <c r="C7">
        <f>coef4*A7^4+coef3*A7^3+coef2*A7^2+coef1*A7+coef0</f>
        <v/>
      </c>
    </row>
    <row r="8">
      <c r="A8" t="n">
        <v>0.4</v>
      </c>
      <c r="B8" t="n">
        <v>0.9350000000000001</v>
      </c>
      <c r="C8">
        <f>coef4*A8^4+coef3*A8^3+coef2*A8^2+coef1*A8+coef0</f>
        <v/>
      </c>
    </row>
    <row r="9">
      <c r="A9" t="n">
        <v>0.5</v>
      </c>
      <c r="B9" t="n">
        <v>0.8875</v>
      </c>
      <c r="C9">
        <f>coef4*A9^4+coef3*A9^3+coef2*A9^2+coef1*A9+coef0</f>
        <v/>
      </c>
    </row>
    <row r="10">
      <c r="A10" t="n">
        <v>0.6</v>
      </c>
      <c r="B10" t="n">
        <v>0.83</v>
      </c>
      <c r="C10">
        <f>coef4*A10^4+coef3*A10^3+coef2*A10^2+coef1*A10+coef0</f>
        <v/>
      </c>
    </row>
    <row r="11">
      <c r="A11" t="n">
        <v>0.7</v>
      </c>
      <c r="B11" t="n">
        <v>0.771</v>
      </c>
      <c r="C11">
        <f>coef4*A11^4+coef3*A11^3+coef2*A11^2+coef1*A11+coef0</f>
        <v/>
      </c>
    </row>
    <row r="12">
      <c r="A12" t="n">
        <v>0.8</v>
      </c>
      <c r="B12" t="n">
        <v>0.7</v>
      </c>
      <c r="C12">
        <f>coef4*A12^4+coef3*A12^3+coef2*A12^2+coef1*A12+coef0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31" sqref="A31"/>
    </sheetView>
  </sheetViews>
  <sheetFormatPr baseColWidth="8" defaultRowHeight="15"/>
  <cols>
    <col width="12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Lambda</t>
        </is>
      </c>
      <c r="B2">
        <f>RCS/(nct*RICS*k*CICS*n)</f>
        <v/>
      </c>
    </row>
    <row r="3" ht="18" customHeight="1">
      <c r="A3" t="inlineStr">
        <is>
          <t>kramp</t>
        </is>
      </c>
      <c r="B3">
        <f>2*(3-1)*f_min.RFMIN*k+5/RSLP/CICS/k/n</f>
        <v/>
      </c>
    </row>
    <row r="4" ht="18" customHeight="1">
      <c r="A4" t="inlineStr">
        <is>
          <t>Rload</t>
        </is>
      </c>
      <c r="B4">
        <f>Vo/Io</f>
        <v/>
      </c>
    </row>
    <row r="5">
      <c r="A5" t="inlineStr">
        <is>
          <t>kcomp</t>
        </is>
      </c>
      <c r="B5">
        <f>4/3*fs_nrm*k*Vin_max/B2/Vo</f>
        <v/>
      </c>
    </row>
    <row r="6" ht="18" customHeight="1">
      <c r="A6" t="inlineStr">
        <is>
          <t>kfs</t>
        </is>
      </c>
      <c r="B6">
        <f>Vo/B4/fs_nrm/k+2/3*Vin_max*kramp/B2/fs_nrm/k/Vo</f>
        <v/>
      </c>
    </row>
    <row r="7">
      <c r="A7" t="inlineStr">
        <is>
          <t>fr</t>
        </is>
      </c>
      <c r="B7">
        <f>fo*k</f>
        <v/>
      </c>
    </row>
    <row r="8">
      <c r="A8" t="inlineStr">
        <is>
          <t>Rac.e</t>
        </is>
      </c>
      <c r="B8">
        <f>Rac.e</f>
        <v/>
      </c>
    </row>
    <row r="9">
      <c r="A9" t="inlineStr">
        <is>
          <t>Ln</t>
        </is>
      </c>
      <c r="B9">
        <f>(Lp-Lr)/Lr</f>
        <v/>
      </c>
      <c r="D9" t="inlineStr">
        <is>
          <t>freq (Hz)</t>
        </is>
      </c>
      <c r="E9" s="95" t="inlineStr">
        <is>
          <t>ω (rad/s)</t>
        </is>
      </c>
      <c r="F9" t="inlineStr">
        <is>
          <t>Zo.complex</t>
        </is>
      </c>
      <c r="G9" t="inlineStr">
        <is>
          <t>HZOH</t>
        </is>
      </c>
      <c r="H9" t="inlineStr">
        <is>
          <t>Gvf.DFC.above</t>
        </is>
      </c>
      <c r="I9" t="inlineStr">
        <is>
          <t>Gvf.DFC.below</t>
        </is>
      </c>
    </row>
    <row r="10">
      <c r="A10" t="inlineStr">
        <is>
          <t>fn</t>
        </is>
      </c>
      <c r="B10">
        <f>fs_nrm/fo</f>
        <v/>
      </c>
      <c r="D10" s="94" t="n">
        <v>16</v>
      </c>
      <c r="E10">
        <f>2*PI()*D10</f>
        <v/>
      </c>
      <c r="F10">
        <f>IMDIV(IMPRODUCT(COMPLEX(R_load,0),COMPLEX(1,E10*ESR*m*Cout*u)),COMPLEX(1,E10*(R_load+ESR*m)*Cout*u))</f>
        <v/>
      </c>
      <c r="G10">
        <f>IMDIV(COMPLEX(1-COS(-E10/fs_nrm/k),-SIN(-E10/fs_nrm/k)),COMPLEX(0,E10/fs_nrm/k))</f>
        <v/>
      </c>
    </row>
    <row r="11">
      <c r="A11" t="inlineStr">
        <is>
          <t>Xeq</t>
        </is>
      </c>
      <c r="B11">
        <f>2*PI()*fs_nrm*k*Lr*u-1/(2*PI()*fs_nrm*k*Cr*n)</f>
        <v/>
      </c>
      <c r="D11" s="94" t="n">
        <v>25</v>
      </c>
      <c r="E11">
        <f>2*PI()*D11</f>
        <v/>
      </c>
      <c r="F11">
        <f>IMDIV(IMPRODUCT(COMPLEX(R_load,0),COMPLEX(1,E11*ESR*m*Cout*u)),COMPLEX(1,E11*(R_load+ESR*m)*Cout*u))</f>
        <v/>
      </c>
      <c r="G11">
        <f>IMDIV(COMPLEX(1-COS(-E11/fs_nrm/k),-SIN(-E11/fs_nrm/k)),COMPLEX(0,E11/fs_nrm/k))</f>
        <v/>
      </c>
    </row>
    <row r="12">
      <c r="A12" t="inlineStr">
        <is>
          <t>Zr</t>
        </is>
      </c>
      <c r="B12">
        <f>SQRT(Lr*u/Cr/n)</f>
        <v/>
      </c>
      <c r="D12" s="94" t="n">
        <v>40</v>
      </c>
      <c r="E12">
        <f>2*PI()*D12</f>
        <v/>
      </c>
      <c r="F12">
        <f>IMDIV(IMPRODUCT(COMPLEX(R_load,0),COMPLEX(1,E12*ESR*m*Cout*u)),COMPLEX(1,E12*(R_load+ESR*m)*Cout*u))</f>
        <v/>
      </c>
      <c r="G12">
        <f>IMDIV(COMPLEX(1-COS(-E12/fs_nrm/k),-SIN(-E12/fs_nrm/k)),COMPLEX(0,E12/fs_nrm/k))</f>
        <v/>
      </c>
    </row>
    <row r="13">
      <c r="A13" t="inlineStr">
        <is>
          <t>Qs</t>
        </is>
      </c>
      <c r="B13">
        <f>Q</f>
        <v/>
      </c>
      <c r="D13" s="94" t="n">
        <v>63</v>
      </c>
      <c r="E13">
        <f>2*PI()*D13</f>
        <v/>
      </c>
      <c r="F13">
        <f>IMDIV(IMPRODUCT(COMPLEX(R_load,0),COMPLEX(1,E13*ESR*m*Cout*u)),COMPLEX(1,E13*(R_load+ESR*m)*Cout*u))</f>
        <v/>
      </c>
      <c r="G13">
        <f>IMDIV(COMPLEX(1-COS(-E13/fs_nrm/k),-SIN(-E13/fs_nrm/k)),COMPLEX(0,E13/fs_nrm/k))</f>
        <v/>
      </c>
    </row>
    <row r="14">
      <c r="A14" t="inlineStr">
        <is>
          <t>Qr</t>
        </is>
      </c>
      <c r="B14">
        <f>B12/R_load/nn^2</f>
        <v/>
      </c>
      <c r="D14" s="94" t="n">
        <v>100</v>
      </c>
      <c r="E14">
        <f>2*PI()*D14</f>
        <v/>
      </c>
      <c r="F14">
        <f>IMDIV(IMPRODUCT(COMPLEX(R_load,0),COMPLEX(1,E14*ESR*m*Cout*u)),COMPLEX(1,E14*(R_load+ESR*m)*Cout*u))</f>
        <v/>
      </c>
      <c r="G14">
        <f>IMDIV(COMPLEX(1-COS(-E14/fs_nrm/k),-SIN(-E14/fs_nrm/k)),COMPLEX(0,E14/fs_nrm/k))</f>
        <v/>
      </c>
    </row>
    <row r="15">
      <c r="A15" t="inlineStr">
        <is>
          <t>Le.above</t>
        </is>
      </c>
      <c r="B15">
        <f>Lr*u*(1+1/B10^2)</f>
        <v/>
      </c>
      <c r="D15" s="94" t="n">
        <v>160</v>
      </c>
      <c r="E15">
        <f>2*PI()*D15</f>
        <v/>
      </c>
      <c r="F15">
        <f>IMDIV(IMPRODUCT(COMPLEX(R_load,0),COMPLEX(1,E15*ESR*m*Cout*u)),COMPLEX(1,E15*(R_load+ESR*m)*Cout*u))</f>
        <v/>
      </c>
      <c r="G15">
        <f>IMDIV(COMPLEX(1-COS(-E15/fs_nrm/k),-SIN(-E15/fs_nrm/k)),COMPLEX(0,E15/fs_nrm/k))</f>
        <v/>
      </c>
    </row>
    <row r="16">
      <c r="A16" t="inlineStr">
        <is>
          <t>Le.below</t>
        </is>
      </c>
      <c r="B16">
        <f>Lr*u*(1+1/B10^2)+(Lp-Lr)*u*(1-B10)</f>
        <v/>
      </c>
      <c r="D16" s="94" t="n">
        <v>250</v>
      </c>
      <c r="E16">
        <f>2*PI()*D16</f>
        <v/>
      </c>
      <c r="F16">
        <f>IMDIV(IMPRODUCT(COMPLEX(R_load,0),COMPLEX(1,E16*ESR*m*Cout*u)),COMPLEX(1,E16*(R_load+ESR*m)*Cout*u))</f>
        <v/>
      </c>
      <c r="G16">
        <f>IMDIV(COMPLEX(1-COS(-E16/fs_nrm/k),-SIN(-E16/fs_nrm/k)),COMPLEX(0,E16/fs_nrm/k))</f>
        <v/>
      </c>
    </row>
    <row r="17">
      <c r="A17" t="inlineStr">
        <is>
          <t>Qp</t>
        </is>
      </c>
      <c r="B17">
        <f>SQRT(R_load+PI()*ESR*m/SQRT(8))*8*PI()*nn*SQRT(B16*Cout*u*R_load)/(16*SQRT(2)*nn^2*R_load*Cout*u*ESR*m+PI()^3*B16)</f>
        <v/>
      </c>
      <c r="D17" s="94" t="n">
        <v>400</v>
      </c>
      <c r="E17">
        <f>2*PI()*D17</f>
        <v/>
      </c>
      <c r="F17">
        <f>IMDIV(IMPRODUCT(COMPLEX(R_load,0),COMPLEX(1,E17*ESR*m*Cout*u)),COMPLEX(1,E17*(R_load+ESR*m)*Cout*u))</f>
        <v/>
      </c>
      <c r="G17">
        <f>IMDIV(COMPLEX(1-COS(-E17/fs_nrm/k),-SIN(-E17/fs_nrm/k)),COMPLEX(0,E17/fs_nrm/k))</f>
        <v/>
      </c>
    </row>
    <row r="18">
      <c r="A18" t="inlineStr">
        <is>
          <t>wp</t>
        </is>
      </c>
      <c r="B18">
        <f>1/SQRT(B16*PI()^2/8/nn^2*Cout*u*(1+PI()*ESR*m/SQRT(8)/R_load))</f>
        <v/>
      </c>
      <c r="D18" s="94" t="n">
        <v>630</v>
      </c>
      <c r="E18">
        <f>2*PI()*D18</f>
        <v/>
      </c>
      <c r="F18">
        <f>IMDIV(IMPRODUCT(COMPLEX(R_load,0),COMPLEX(1,E18*ESR*m*Cout*u)),COMPLEX(1,E18*(R_load+ESR*m)*Cout*u))</f>
        <v/>
      </c>
      <c r="G18">
        <f>IMDIV(COMPLEX(1-COS(-E18/fs_nrm/k),-SIN(-E18/fs_nrm/k)),COMPLEX(0,E18/fs_nrm/k))</f>
        <v/>
      </c>
    </row>
    <row r="19">
      <c r="D19" s="94" t="n">
        <v>1000</v>
      </c>
      <c r="E19">
        <f>2*PI()*D19</f>
        <v/>
      </c>
      <c r="F19">
        <f>IMDIV(IMPRODUCT(COMPLEX(R_load,0),COMPLEX(1,E19*ESR*m*Cout*u)),COMPLEX(1,E19*(R_load+ESR*m)*Cout*u))</f>
        <v/>
      </c>
      <c r="G19">
        <f>IMDIV(COMPLEX(1-COS(-E19/fs_nrm/k),-SIN(-E19/fs_nrm/k)),COMPLEX(0,E19/fs_nrm/k))</f>
        <v/>
      </c>
    </row>
    <row r="20">
      <c r="A20" s="96" t="inlineStr">
        <is>
          <t>Mode</t>
        </is>
      </c>
      <c r="B20" s="96">
        <f>IF(fs_nrm&gt;fo,"ABOVE","BELOW")</f>
        <v/>
      </c>
      <c r="D20" s="94" t="n">
        <v>1600</v>
      </c>
      <c r="E20">
        <f>2*PI()*D20</f>
        <v/>
      </c>
      <c r="F20">
        <f>IMDIV(IMPRODUCT(COMPLEX(R_load,0),COMPLEX(1,E20*ESR*m*Cout*u)),COMPLEX(1,E20*(R_load+ESR*m)*Cout*u))</f>
        <v/>
      </c>
      <c r="G20">
        <f>IMDIV(COMPLEX(1-COS(-E20/fs_nrm/k),-SIN(-E20/fs_nrm/k)),COMPLEX(0,E20/fs_nrm/k))</f>
        <v/>
      </c>
    </row>
    <row r="21">
      <c r="A21" t="inlineStr">
        <is>
          <t>Gdc.above.half</t>
        </is>
      </c>
      <c r="B21">
        <f>2*PI()*Vin_max*B9/(2*nn*2*PI()*B7*B10)*((1/B10^2-B10^2)*(PI()^2*B14*B9/8)^2-(B9+1-1/B10^2)*2/B10^2)/(SQRT((B9+1-1/B10^2)^2+((1/B10-B10)*PI()^2*B9*B14/8)^2))^3</f>
        <v/>
      </c>
      <c r="D21" s="94" t="n">
        <v>2500</v>
      </c>
      <c r="E21">
        <f>2*PI()*D21</f>
        <v/>
      </c>
      <c r="F21">
        <f>IMDIV(IMPRODUCT(COMPLEX(R_load,0),COMPLEX(1,E21*ESR*m*Cout*u)),COMPLEX(1,E21*(R_load+ESR*m)*Cout*u))</f>
        <v/>
      </c>
      <c r="G21">
        <f>IMDIV(COMPLEX(1-COS(-E21/fs_nrm/k),-SIN(-E21/fs_nrm/k)),COMPLEX(0,E21/fs_nrm/k))</f>
        <v/>
      </c>
    </row>
    <row r="22">
      <c r="A22" t="inlineStr">
        <is>
          <t>Gdc.above</t>
        </is>
      </c>
      <c r="B22">
        <f>IF(BRIDGE,B21*2,B21)</f>
        <v/>
      </c>
      <c r="D22" s="94" t="n">
        <v>4000</v>
      </c>
      <c r="E22">
        <f>2*PI()*D22</f>
        <v/>
      </c>
      <c r="F22">
        <f>IMDIV(IMPRODUCT(COMPLEX(R_load,0),COMPLEX(1,E22*ESR*m*Cout*u)),COMPLEX(1,E22*(R_load+ESR*m)*Cout*u))</f>
        <v/>
      </c>
      <c r="G22">
        <f>IMDIV(COMPLEX(1-COS(-E22/fs_nrm/k),-SIN(-E22/fs_nrm/k)),COMPLEX(0,E22/fs_nrm/k))</f>
        <v/>
      </c>
    </row>
    <row r="23">
      <c r="A23" t="inlineStr">
        <is>
          <t>Gdc.below.half</t>
        </is>
      </c>
      <c r="D23" s="94" t="n">
        <v>6300</v>
      </c>
      <c r="E23">
        <f>2*PI()*D23</f>
        <v/>
      </c>
      <c r="F23">
        <f>IMDIV(IMPRODUCT(COMPLEX(R_load,0),COMPLEX(1,E23*ESR*m*Cout*u)),COMPLEX(1,E23*(R_load+ESR*m)*Cout*u))</f>
        <v/>
      </c>
      <c r="G23">
        <f>IMDIV(COMPLEX(1-COS(-E23/fs_nrm/k),-SIN(-E23/fs_nrm/k)),COMPLEX(0,E23/fs_nrm/k))</f>
        <v/>
      </c>
    </row>
    <row r="24">
      <c r="A24" t="inlineStr">
        <is>
          <t>Gdc.below.half</t>
        </is>
      </c>
      <c r="B24">
        <f>IF(BRIDGE,B23*2,B23)</f>
        <v/>
      </c>
      <c r="D24" s="94" t="n">
        <v>10000</v>
      </c>
      <c r="E24">
        <f>2*PI()*D24</f>
        <v/>
      </c>
      <c r="F24">
        <f>IMDIV(IMPRODUCT(COMPLEX(R_load,0),COMPLEX(1,E24*ESR*m*Cout*u)),COMPLEX(1,E24*(R_load+ESR*m)*Cout*u))</f>
        <v/>
      </c>
      <c r="G24">
        <f>IMDIV(COMPLEX(1-COS(-E24/fs_nrm/k),-SIN(-E24/fs_nrm/k)),COMPLEX(0,E24/fs_nrm/k))</f>
        <v/>
      </c>
    </row>
    <row r="25">
      <c r="D25" s="94" t="n">
        <v>16000</v>
      </c>
      <c r="E25">
        <f>2*PI()*D25</f>
        <v/>
      </c>
      <c r="F25">
        <f>IMDIV(IMPRODUCT(COMPLEX(R_load,0),COMPLEX(1,E25*ESR*m*Cout*u)),COMPLEX(1,E25*(R_load+ESR*m)*Cout*u))</f>
        <v/>
      </c>
      <c r="G25">
        <f>IMDIV(COMPLEX(1-COS(-E25/fs_nrm/k),-SIN(-E25/fs_nrm/k)),COMPLEX(0,E25/fs_nrm/k))</f>
        <v/>
      </c>
    </row>
    <row r="26">
      <c r="D26" s="94" t="n">
        <v>25000</v>
      </c>
      <c r="E26">
        <f>2*PI()*D26</f>
        <v/>
      </c>
      <c r="F26">
        <f>IMDIV(IMPRODUCT(COMPLEX(R_load,0),COMPLEX(1,E26*ESR*m*Cout*u)),COMPLEX(1,E26*(R_load+ESR*m)*Cout*u))</f>
        <v/>
      </c>
      <c r="G26">
        <f>IMDIV(COMPLEX(1-COS(-E26/fs_nrm/k),-SIN(-E26/fs_nrm/k)),COMPLEX(0,E26/fs_nrm/k))</f>
        <v/>
      </c>
    </row>
    <row r="27">
      <c r="D27" s="94" t="n">
        <v>40000</v>
      </c>
      <c r="E27">
        <f>2*PI()*D27</f>
        <v/>
      </c>
      <c r="F27">
        <f>IMDIV(IMPRODUCT(COMPLEX(R_load,0),COMPLEX(1,E27*ESR*m*Cout*u)),COMPLEX(1,E27*(R_load+ESR*m)*Cout*u))</f>
        <v/>
      </c>
      <c r="G27">
        <f>IMDIV(COMPLEX(1-COS(-E27/fs_nrm/k),-SIN(-E27/fs_nrm/k)),COMPLEX(0,E27/fs_nrm/k))</f>
        <v/>
      </c>
    </row>
    <row r="28">
      <c r="D28" s="94" t="n">
        <v>63000</v>
      </c>
      <c r="E28">
        <f>2*PI()*D28</f>
        <v/>
      </c>
      <c r="F28">
        <f>IMDIV(IMPRODUCT(COMPLEX(R_load,0),COMPLEX(1,E28*ESR*m*Cout*u)),COMPLEX(1,E28*(R_load+ESR*m)*Cout*u))</f>
        <v/>
      </c>
      <c r="G28">
        <f>IMDIV(COMPLEX(1-COS(-E28/fs_nrm/k),-SIN(-E28/fs_nrm/k)),COMPLEX(0,E28/fs_nrm/k))</f>
        <v/>
      </c>
    </row>
    <row r="29">
      <c r="D29" s="94" t="n">
        <v>100000</v>
      </c>
      <c r="E29">
        <f>2*PI()*D29</f>
        <v/>
      </c>
      <c r="F29">
        <f>IMDIV(IMPRODUCT(COMPLEX(R_load,0),COMPLEX(1,E29*ESR*m*Cout*u)),COMPLEX(1,E29*(R_load+ESR*m)*Cout*u))</f>
        <v/>
      </c>
      <c r="G29">
        <f>IMDIV(COMPLEX(1-COS(-E29/fs_nrm/k),-SIN(-E29/fs_nrm/k)),COMPLEX(0,E29/fs_nrm/k))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2015-12-07T23:10:23Z</dcterms:created>
  <dcterms:modified xmlns:dcterms="http://purl.org/dc/terms/" xmlns:xsi="http://www.w3.org/2001/XMLSchema-instance" xsi:type="dcterms:W3CDTF">2021-08-27T02:31:32Z</dcterms:modified>
  <cp:lastModifiedBy>Walter Chiu</cp:lastModifiedBy>
</cp:coreProperties>
</file>